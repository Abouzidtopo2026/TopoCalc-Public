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IENWARE\Desktop\CASIO\ROAD 100% WORKING\www\"/>
    </mc:Choice>
  </mc:AlternateContent>
  <xr:revisionPtr revIDLastSave="0" documentId="13_ncr:1_{ED53E7D6-D053-4190-BD8B-71D87D6A0FAF}" xr6:coauthVersionLast="47" xr6:coauthVersionMax="47" xr10:uidLastSave="{00000000-0000-0000-0000-000000000000}"/>
  <bookViews>
    <workbookView xWindow="1410" yWindow="1995" windowWidth="13470" windowHeight="13530" firstSheet="1" activeTab="2" xr2:uid="{00000000-000D-0000-FFFF-FFFF00000000}"/>
  </bookViews>
  <sheets>
    <sheet name="Axe en long" sheetId="1" r:id="rId1"/>
    <sheet name="Axe en plan" sheetId="2" r:id="rId2"/>
    <sheet name="Entrée terre" sheetId="3" r:id="rId3"/>
    <sheet name="Tabulation" sheetId="4" r:id="rId4"/>
  </sheets>
  <externalReferences>
    <externalReference r:id="rId5"/>
  </externalReferences>
  <calcPr calcId="191029" iterate="1" iterateCount="40" iterateDelta="5.0000000000000001E-4" concurrentManual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I9" i="2" s="1"/>
  <c r="H10" i="2"/>
  <c r="H11" i="2"/>
  <c r="H12" i="2"/>
  <c r="I12" i="2" s="1"/>
  <c r="H13" i="2"/>
  <c r="I13" i="2" s="1"/>
  <c r="H14" i="2"/>
  <c r="I14" i="2" s="1"/>
  <c r="H15" i="2"/>
  <c r="I15" i="2" s="1"/>
  <c r="H16" i="2"/>
  <c r="H17" i="2"/>
  <c r="H18" i="2"/>
  <c r="I18" i="2" s="1"/>
  <c r="H19" i="2"/>
  <c r="I19" i="2" s="1"/>
  <c r="H20" i="2"/>
  <c r="I20" i="2" s="1"/>
  <c r="H21" i="2"/>
  <c r="H22" i="2"/>
  <c r="H23" i="2"/>
  <c r="I23" i="2" s="1"/>
  <c r="H24" i="2"/>
  <c r="I24" i="2" s="1"/>
  <c r="H8" i="2"/>
  <c r="I8" i="2" s="1"/>
  <c r="N226" i="4" a="1"/>
  <c r="N227" i="4" a="1"/>
  <c r="N228" i="4" a="1"/>
  <c r="N229" i="4" a="1"/>
  <c r="N230" i="4" a="1"/>
  <c r="N231" i="4" a="1"/>
  <c r="N232" i="4" a="1"/>
  <c r="N233" i="4" a="1"/>
  <c r="N234" i="4" a="1"/>
  <c r="N235" i="4" a="1"/>
  <c r="N236" i="4" a="1"/>
  <c r="N237" i="4" a="1"/>
  <c r="N238" i="4" a="1"/>
  <c r="N239" i="4" a="1"/>
  <c r="N240" i="4" a="1"/>
  <c r="N241" i="4" a="1"/>
  <c r="N242" i="4" a="1"/>
  <c r="N243" i="4" a="1"/>
  <c r="N244" i="4" a="1"/>
  <c r="N245" i="4" a="1"/>
  <c r="N246" i="4" a="1"/>
  <c r="N247" i="4" a="1"/>
  <c r="N248" i="4" a="1"/>
  <c r="N249" i="4" a="1"/>
  <c r="N250" i="4" a="1"/>
  <c r="N251" i="4" a="1"/>
  <c r="N252" i="4" a="1"/>
  <c r="N253" i="4" a="1"/>
  <c r="N254" i="4" a="1"/>
  <c r="N255" i="4" a="1"/>
  <c r="N256" i="4" a="1"/>
  <c r="N257" i="4" a="1"/>
  <c r="N258" i="4" a="1"/>
  <c r="N259" i="4" a="1"/>
  <c r="N260" i="4" a="1"/>
  <c r="N261" i="4" a="1"/>
  <c r="N262" i="4" a="1"/>
  <c r="N263" i="4" a="1"/>
  <c r="N264" i="4" a="1"/>
  <c r="N209" i="4" a="1"/>
  <c r="N210" i="4" a="1"/>
  <c r="N211" i="4" a="1"/>
  <c r="N212" i="4" a="1"/>
  <c r="N213" i="4" a="1"/>
  <c r="N214" i="4" a="1"/>
  <c r="N215" i="4" a="1"/>
  <c r="N216" i="4" a="1"/>
  <c r="N217" i="4" a="1"/>
  <c r="N218" i="4" a="1"/>
  <c r="N219" i="4" a="1"/>
  <c r="N220" i="4" a="1"/>
  <c r="N221" i="4" a="1"/>
  <c r="N222" i="4" a="1"/>
  <c r="N223" i="4" a="1"/>
  <c r="N224" i="4" a="1"/>
  <c r="N225" i="4" a="1"/>
  <c r="N208" i="4" a="1"/>
  <c r="N10" i="4" a="1"/>
  <c r="N264" i="4" l="1"/>
  <c r="O264" i="4" s="1"/>
  <c r="N263" i="4"/>
  <c r="O263" i="4" s="1"/>
  <c r="N262" i="4"/>
  <c r="O262" i="4" s="1"/>
  <c r="N261" i="4"/>
  <c r="O261" i="4" s="1"/>
  <c r="N260" i="4"/>
  <c r="O260" i="4" s="1"/>
  <c r="N259" i="4"/>
  <c r="O259" i="4" s="1"/>
  <c r="N258" i="4"/>
  <c r="O258" i="4" s="1"/>
  <c r="N257" i="4"/>
  <c r="O257" i="4" s="1"/>
  <c r="N256" i="4"/>
  <c r="O256" i="4" s="1"/>
  <c r="N255" i="4"/>
  <c r="O255" i="4" s="1"/>
  <c r="N254" i="4"/>
  <c r="O254" i="4" s="1"/>
  <c r="N253" i="4"/>
  <c r="O253" i="4" s="1"/>
  <c r="N252" i="4"/>
  <c r="O252" i="4" s="1"/>
  <c r="N251" i="4"/>
  <c r="O251" i="4" s="1"/>
  <c r="N250" i="4"/>
  <c r="O250" i="4" s="1"/>
  <c r="N249" i="4"/>
  <c r="O249" i="4" s="1"/>
  <c r="N248" i="4"/>
  <c r="O248" i="4" s="1"/>
  <c r="N247" i="4"/>
  <c r="O247" i="4" s="1"/>
  <c r="N246" i="4"/>
  <c r="O246" i="4" s="1"/>
  <c r="N245" i="4"/>
  <c r="O245" i="4" s="1"/>
  <c r="N244" i="4"/>
  <c r="O244" i="4" s="1"/>
  <c r="N243" i="4"/>
  <c r="O243" i="4" s="1"/>
  <c r="N242" i="4"/>
  <c r="O242" i="4" s="1"/>
  <c r="N241" i="4"/>
  <c r="O241" i="4" s="1"/>
  <c r="N240" i="4"/>
  <c r="O240" i="4" s="1"/>
  <c r="N239" i="4"/>
  <c r="O239" i="4" s="1"/>
  <c r="N238" i="4"/>
  <c r="O238" i="4" s="1"/>
  <c r="N237" i="4"/>
  <c r="O237" i="4" s="1"/>
  <c r="N236" i="4"/>
  <c r="O236" i="4" s="1"/>
  <c r="N235" i="4"/>
  <c r="O235" i="4" s="1"/>
  <c r="N234" i="4"/>
  <c r="O234" i="4" s="1"/>
  <c r="N233" i="4"/>
  <c r="O233" i="4" s="1"/>
  <c r="N232" i="4"/>
  <c r="O232" i="4" s="1"/>
  <c r="N231" i="4"/>
  <c r="O231" i="4" s="1"/>
  <c r="N230" i="4"/>
  <c r="O230" i="4" s="1"/>
  <c r="N229" i="4"/>
  <c r="O229" i="4" s="1"/>
  <c r="N228" i="4"/>
  <c r="O228" i="4" s="1"/>
  <c r="N227" i="4"/>
  <c r="O227" i="4" s="1"/>
  <c r="N226" i="4"/>
  <c r="O226" i="4" s="1"/>
  <c r="N225" i="4"/>
  <c r="O225" i="4" s="1"/>
  <c r="N224" i="4"/>
  <c r="O224" i="4" s="1"/>
  <c r="N223" i="4"/>
  <c r="O223" i="4" s="1"/>
  <c r="N222" i="4"/>
  <c r="O222" i="4" s="1"/>
  <c r="N221" i="4"/>
  <c r="O221" i="4" s="1"/>
  <c r="N220" i="4"/>
  <c r="O220" i="4" s="1"/>
  <c r="N219" i="4"/>
  <c r="O219" i="4" s="1"/>
  <c r="N218" i="4"/>
  <c r="O218" i="4" s="1"/>
  <c r="N217" i="4"/>
  <c r="O217" i="4" s="1"/>
  <c r="N216" i="4"/>
  <c r="O216" i="4" s="1"/>
  <c r="N215" i="4"/>
  <c r="O215" i="4" s="1"/>
  <c r="N214" i="4"/>
  <c r="O214" i="4" s="1"/>
  <c r="N213" i="4"/>
  <c r="O213" i="4" s="1"/>
  <c r="N212" i="4"/>
  <c r="O212" i="4" s="1"/>
  <c r="N211" i="4"/>
  <c r="O211" i="4" s="1"/>
  <c r="N210" i="4"/>
  <c r="O210" i="4" s="1"/>
  <c r="N209" i="4"/>
  <c r="O209" i="4" s="1"/>
  <c r="N208" i="4"/>
  <c r="O208" i="4" s="1"/>
  <c r="N10" i="4"/>
  <c r="G9" i="1" l="1" a="1"/>
  <c r="G13" i="1" a="1"/>
  <c r="G17" i="1" a="1"/>
  <c r="G21" i="1" a="1"/>
  <c r="G25" i="1" a="1"/>
  <c r="G29" i="1" a="1"/>
  <c r="G29" i="1" l="1"/>
  <c r="G25" i="1"/>
  <c r="G21" i="1"/>
  <c r="G17" i="1"/>
  <c r="G13" i="1"/>
  <c r="G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<sst xmlns="http://schemas.openxmlformats.org/spreadsheetml/2006/main" count="2024" uniqueCount="406">
  <si>
    <t>Nom du dessin</t>
  </si>
  <si>
    <t>Dessin5.dwg</t>
  </si>
  <si>
    <t>Nom de l'axe</t>
  </si>
  <si>
    <t>Nouveau Projet - Axe1_TEST</t>
  </si>
  <si>
    <t>Date du listing</t>
  </si>
  <si>
    <t>03/12/2025 - 21:11:16</t>
  </si>
  <si>
    <t>Profil En Long Projet</t>
  </si>
  <si>
    <t>Elts Caractéristiques</t>
  </si>
  <si>
    <t>Points de Contacts</t>
  </si>
  <si>
    <t>Nom</t>
  </si>
  <si>
    <t>Pente / Rayon</t>
  </si>
  <si>
    <t>Longueur</t>
  </si>
  <si>
    <t>Abscisse</t>
  </si>
  <si>
    <t>Altitude</t>
  </si>
  <si>
    <t>Pente 1</t>
  </si>
  <si>
    <t>Pente</t>
  </si>
  <si>
    <t>Parabole 1</t>
  </si>
  <si>
    <t>Rayon</t>
  </si>
  <si>
    <t>-50000.000 m</t>
  </si>
  <si>
    <t> </t>
  </si>
  <si>
    <t>Sommet Absc.</t>
  </si>
  <si>
    <t>698.706 m</t>
  </si>
  <si>
    <t>Sommet Alt.</t>
  </si>
  <si>
    <t>124.341 m</t>
  </si>
  <si>
    <t>Pente 2</t>
  </si>
  <si>
    <t>-0.54 %</t>
  </si>
  <si>
    <t>Parabole 2</t>
  </si>
  <si>
    <t>75000.000 m</t>
  </si>
  <si>
    <t>1637.908 m</t>
  </si>
  <si>
    <t>121.088 m</t>
  </si>
  <si>
    <t>Pente 3</t>
  </si>
  <si>
    <t>0.55 %</t>
  </si>
  <si>
    <t>Parabole 3</t>
  </si>
  <si>
    <t>-40000.000 m</t>
  </si>
  <si>
    <t>2719.862 m</t>
  </si>
  <si>
    <t>125.285 m</t>
  </si>
  <si>
    <t>Pente 4</t>
  </si>
  <si>
    <t>-0.74 %</t>
  </si>
  <si>
    <t>Parabole 4</t>
  </si>
  <si>
    <t>70000.000 m</t>
  </si>
  <si>
    <t>3680.064 m</t>
  </si>
  <si>
    <t>121.185 m</t>
  </si>
  <si>
    <t>Pente 5</t>
  </si>
  <si>
    <t>0.46 %</t>
  </si>
  <si>
    <t>Parabole 5</t>
  </si>
  <si>
    <t>-100000.000 m</t>
  </si>
  <si>
    <t>4810.288 m</t>
  </si>
  <si>
    <t>124.581 m</t>
  </si>
  <si>
    <t>Pente 6</t>
  </si>
  <si>
    <t>-0.55 %</t>
  </si>
  <si>
    <t>Longueur totale de l'axe 5637.674 mètre(s)</t>
  </si>
  <si>
    <t>Longueur développée totale de l'axe 5637.728 mètre(s)</t>
  </si>
  <si>
    <t>Axe En Plan</t>
  </si>
  <si>
    <t>Paramètres</t>
  </si>
  <si>
    <t>X</t>
  </si>
  <si>
    <t>Y</t>
  </si>
  <si>
    <t>Droite 1</t>
  </si>
  <si>
    <t>Gisement</t>
  </si>
  <si>
    <t>254.4214g</t>
  </si>
  <si>
    <t>Arc 1</t>
  </si>
  <si>
    <t>Centre X</t>
  </si>
  <si>
    <t>Centre Y</t>
  </si>
  <si>
    <t>Clothoïde 1</t>
  </si>
  <si>
    <t>Paramètre</t>
  </si>
  <si>
    <t>Droite 2</t>
  </si>
  <si>
    <t>314.8108g</t>
  </si>
  <si>
    <t>Clothoïde 2</t>
  </si>
  <si>
    <t>Arc 2</t>
  </si>
  <si>
    <t>Clothoïde 3</t>
  </si>
  <si>
    <t>Clothoïde 4</t>
  </si>
  <si>
    <t>Arc 3</t>
  </si>
  <si>
    <t>Droite 3</t>
  </si>
  <si>
    <t>295.8819g</t>
  </si>
  <si>
    <t>Edition des entrées en terre</t>
  </si>
  <si>
    <t>Num.</t>
  </si>
  <si>
    <t>Côté</t>
  </si>
  <si>
    <t>Gauche</t>
  </si>
  <si>
    <t>Droit</t>
  </si>
  <si>
    <t>Assiette</t>
  </si>
  <si>
    <t>Cote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</si>
  <si>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</si>
  <si>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</si>
  <si>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</si>
  <si>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</si>
  <si>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</si>
  <si>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</si>
  <si>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</si>
  <si>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</si>
  <si>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</si>
  <si>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</si>
  <si>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</si>
  <si>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</si>
  <si>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</si>
  <si>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</si>
  <si>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</si>
  <si>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</si>
  <si>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</si>
  <si>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</si>
  <si>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</si>
  <si>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</si>
  <si>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</si>
  <si>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</si>
  <si>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</si>
  <si>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</si>
  <si>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</si>
  <si>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</si>
  <si>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</si>
  <si>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</si>
  <si>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</si>
  <si>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</si>
  <si>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</si>
  <si>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</si>
  <si>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</si>
  <si>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</si>
  <si>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</si>
  <si>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</si>
  <si>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</si>
  <si>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</si>
  <si>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</si>
  <si>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</si>
  <si>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</si>
  <si>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</si>
  <si>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</si>
  <si>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</si>
  <si>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</si>
  <si>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</si>
  <si>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</si>
  <si>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</si>
  <si>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</si>
  <si>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</si>
  <si>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</si>
  <si>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</si>
  <si>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</si>
  <si>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</si>
  <si>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</si>
  <si>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</si>
  <si>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</si>
  <si>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</si>
  <si>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</si>
  <si>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</si>
  <si>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</si>
  <si>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</si>
  <si>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</si>
  <si>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</si>
  <si>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</si>
  <si>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</si>
  <si>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</si>
  <si>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</si>
  <si>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</si>
  <si>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</si>
  <si>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</si>
  <si>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</si>
  <si>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</si>
  <si>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</si>
  <si>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</si>
  <si>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</si>
  <si>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</si>
  <si>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</si>
  <si>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</si>
  <si>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</si>
  <si>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</si>
  <si>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</si>
  <si>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</si>
  <si>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</si>
  <si>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</si>
  <si>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</si>
  <si>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</si>
  <si>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</si>
  <si>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</si>
  <si>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</si>
  <si>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</si>
  <si>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</si>
  <si>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</si>
  <si>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</si>
  <si>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</si>
  <si>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</si>
  <si>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</si>
  <si>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</si>
  <si>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</si>
  <si>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</si>
  <si>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</si>
  <si>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</si>
  <si>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</si>
  <si>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</si>
  <si>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</si>
  <si>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</si>
  <si>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</si>
  <si>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</si>
  <si>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</si>
  <si>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</si>
  <si>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</si>
  <si>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</si>
  <si>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</si>
  <si>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</si>
  <si>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</si>
  <si>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</si>
  <si>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</si>
  <si>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</si>
  <si>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</si>
  <si>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</si>
  <si>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</si>
  <si>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</si>
  <si>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</si>
  <si>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</si>
  <si>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</si>
  <si>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</si>
  <si>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</si>
  <si>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</si>
  <si>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</si>
  <si>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</si>
  <si>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</si>
  <si>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</si>
  <si>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</si>
  <si>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</si>
  <si>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</si>
  <si>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</si>
  <si>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</si>
  <si>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</si>
  <si>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</si>
  <si>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</si>
  <si>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</si>
  <si>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</si>
  <si>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</si>
  <si>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</si>
  <si>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</si>
  <si>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</si>
  <si>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</si>
  <si>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</si>
  <si>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</si>
  <si>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</si>
  <si>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</si>
  <si>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</si>
  <si>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</si>
  <si>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</si>
  <si>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</si>
  <si>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</si>
  <si>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</si>
  <si>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</si>
  <si>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</si>
  <si>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</si>
  <si>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</si>
  <si>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</si>
  <si>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</si>
  <si>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</si>
  <si>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</si>
  <si>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</si>
  <si>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</si>
  <si>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</si>
  <si>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</si>
  <si>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</si>
  <si>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</si>
  <si>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</si>
  <si>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</si>
  <si>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</si>
  <si>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</si>
  <si>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</si>
  <si>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</si>
  <si>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</si>
  <si>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</si>
  <si>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</si>
  <si>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</si>
  <si>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</si>
  <si>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</si>
  <si>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</si>
  <si>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</si>
  <si>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</si>
  <si>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</si>
  <si>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</si>
  <si>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</si>
  <si>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</si>
  <si>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</si>
  <si>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</si>
  <si>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</si>
  <si>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</si>
  <si>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</si>
  <si>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</si>
  <si>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</si>
  <si>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</si>
  <si>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</si>
  <si>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</si>
  <si>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</si>
  <si>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</si>
  <si>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</si>
  <si>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</si>
  <si>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</si>
  <si>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</si>
  <si>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</si>
  <si>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</si>
  <si>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</si>
  <si>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</si>
  <si>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</si>
  <si>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</si>
  <si>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</si>
  <si>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</si>
  <si>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</si>
  <si>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</si>
  <si>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</si>
  <si>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</si>
  <si>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</si>
  <si>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</si>
  <si>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</si>
  <si>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</si>
  <si>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</si>
  <si>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</si>
  <si>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</si>
  <si>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</si>
  <si>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</si>
  <si>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</si>
  <si>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</si>
  <si>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</si>
  <si>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</si>
  <si>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</si>
  <si>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</si>
  <si>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</si>
  <si>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</si>
  <si>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</si>
  <si>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</si>
  <si>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</si>
  <si>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</si>
  <si>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</si>
  <si>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</si>
  <si>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</si>
  <si>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</si>
  <si>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</si>
  <si>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</si>
  <si>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</si>
  <si>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</si>
  <si>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</si>
  <si>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</si>
  <si>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</si>
  <si>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</si>
  <si>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</si>
  <si>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</si>
  <si>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</si>
  <si>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</si>
  <si>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</si>
  <si>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</si>
  <si>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</si>
  <si>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</si>
  <si>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</si>
  <si>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</si>
  <si>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</si>
  <si>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</si>
  <si>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</si>
  <si>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</si>
  <si>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</si>
  <si>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</si>
  <si>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</si>
  <si>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</si>
  <si>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</si>
  <si>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</si>
  <si>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</si>
  <si>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</si>
  <si>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</si>
  <si>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</si>
  <si>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</si>
  <si>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</si>
  <si>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</si>
  <si>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</si>
  <si>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</si>
  <si>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</si>
  <si>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</si>
  <si>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</si>
  <si>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</si>
  <si>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</si>
  <si>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</si>
  <si>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</si>
  <si>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</si>
  <si>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</si>
  <si>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</si>
  <si>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</si>
  <si>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</si>
  <si>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Convention de signe des dévers :</t>
  </si>
  <si>
    <t>Profils En Travers</t>
  </si>
  <si>
    <t>Axe Plan</t>
  </si>
  <si>
    <t>Axe Long</t>
  </si>
  <si>
    <t>Z TN</t>
  </si>
  <si>
    <t>Z Projet</t>
  </si>
  <si>
    <t>Dévers</t>
  </si>
  <si>
    <t>Droite</t>
  </si>
  <si>
    <t>long.</t>
  </si>
  <si>
    <t>PK (1)</t>
  </si>
  <si>
    <t>X (2)</t>
  </si>
  <si>
    <t>Y (3)</t>
  </si>
  <si>
    <t>Gisement (4)</t>
  </si>
  <si>
    <t>Rayon (5)</t>
  </si>
  <si>
    <t>ParamA (6)</t>
  </si>
  <si>
    <t>X_Fin/IP (7)</t>
  </si>
  <si>
    <t>Y_Fin/IP (8)</t>
  </si>
  <si>
    <t>A1 (9)</t>
  </si>
  <si>
    <t>R1 (10)</t>
  </si>
  <si>
    <t>A2 (11)</t>
  </si>
  <si>
    <t>R2 (12)</t>
  </si>
  <si>
    <t>Type (13)</t>
  </si>
  <si>
    <t>ligne</t>
  </si>
  <si>
    <t>arc</t>
  </si>
  <si>
    <t>clothoInverse</t>
  </si>
  <si>
    <t>clotho</t>
  </si>
  <si>
    <t>liaisonS</t>
  </si>
  <si>
    <t>FIN</t>
  </si>
  <si>
    <t>isement</t>
  </si>
  <si>
    <t>Gisement Tabulation</t>
  </si>
  <si>
    <t>Gisement Axe</t>
  </si>
  <si>
    <t>Z (2)</t>
  </si>
  <si>
    <t>Pente (3)</t>
  </si>
  <si>
    <t>Rayon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</si>
</sst>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i/>
      <sz val="12"/>
      <color indexed="8"/>
      <name val="Arial"/>
      <family val="2"/>
    </font>
    <font>
      <sz val="8"/>
      <color indexed="8"/>
      <name val="Arial"/>
      <family val="2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49" fontId="2" fillId="0" borderId="7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righ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12" xfId="0" applyNumberFormat="1" applyFont="1" applyBorder="1" applyAlignment="1">
      <alignment horizontal="right"/>
    </xf>
    <xf numFmtId="49" fontId="2" fillId="0" borderId="13" xfId="0" applyNumberFormat="1" applyFont="1" applyBorder="1" applyAlignment="1">
      <alignment horizontal="left"/>
    </xf>
    <xf numFmtId="49" fontId="2" fillId="0" borderId="14" xfId="0" applyNumberFormat="1" applyFont="1" applyBorder="1" applyAlignment="1">
      <alignment horizontal="left"/>
    </xf>
    <xf numFmtId="49" fontId="2" fillId="0" borderId="15" xfId="0" applyNumberFormat="1" applyFont="1" applyBorder="1" applyAlignment="1">
      <alignment horizontal="right"/>
    </xf>
    <xf numFmtId="164" fontId="2" fillId="0" borderId="16" xfId="0" applyNumberFormat="1" applyFont="1" applyBorder="1" applyAlignment="1">
      <alignment horizontal="right"/>
    </xf>
    <xf numFmtId="164" fontId="2" fillId="0" borderId="17" xfId="0" applyNumberFormat="1" applyFont="1" applyBorder="1" applyAlignment="1">
      <alignment horizontal="right"/>
    </xf>
    <xf numFmtId="164" fontId="2" fillId="0" borderId="18" xfId="0" applyNumberFormat="1" applyFont="1" applyBorder="1" applyAlignment="1">
      <alignment horizontal="right"/>
    </xf>
    <xf numFmtId="49" fontId="2" fillId="4" borderId="19" xfId="0" applyNumberFormat="1" applyFont="1" applyFill="1" applyBorder="1" applyAlignment="1">
      <alignment horizontal="center"/>
    </xf>
    <xf numFmtId="49" fontId="2" fillId="5" borderId="20" xfId="0" applyNumberFormat="1" applyFont="1" applyFill="1" applyBorder="1" applyAlignment="1">
      <alignment horizontal="center"/>
    </xf>
    <xf numFmtId="49" fontId="2" fillId="6" borderId="21" xfId="0" applyNumberFormat="1" applyFont="1" applyFill="1" applyBorder="1" applyAlignment="1">
      <alignment horizontal="center"/>
    </xf>
    <xf numFmtId="49" fontId="2" fillId="7" borderId="22" xfId="0" applyNumberFormat="1" applyFont="1" applyFill="1" applyBorder="1" applyAlignment="1">
      <alignment horizontal="center"/>
    </xf>
    <xf numFmtId="49" fontId="2" fillId="8" borderId="23" xfId="0" applyNumberFormat="1" applyFont="1" applyFill="1" applyBorder="1" applyAlignment="1">
      <alignment horizontal="left"/>
    </xf>
    <xf numFmtId="49" fontId="2" fillId="0" borderId="24" xfId="0" applyNumberFormat="1" applyFont="1" applyBorder="1" applyAlignment="1">
      <alignment horizontal="right"/>
    </xf>
    <xf numFmtId="49" fontId="2" fillId="9" borderId="25" xfId="0" applyNumberFormat="1" applyFont="1" applyFill="1" applyBorder="1" applyAlignment="1">
      <alignment horizontal="center"/>
    </xf>
    <xf numFmtId="2" fontId="2" fillId="0" borderId="26" xfId="0" applyNumberFormat="1" applyFont="1" applyBorder="1" applyAlignment="1">
      <alignment horizontal="right"/>
    </xf>
    <xf numFmtId="10" fontId="2" fillId="0" borderId="5" xfId="0" applyNumberFormat="1" applyFont="1" applyBorder="1" applyAlignment="1">
      <alignment horizontal="right"/>
    </xf>
    <xf numFmtId="49" fontId="0" fillId="0" borderId="0" xfId="0" applyNumberFormat="1"/>
    <xf numFmtId="164" fontId="2" fillId="10" borderId="17" xfId="0" applyNumberFormat="1" applyFont="1" applyFill="1" applyBorder="1" applyAlignment="1">
      <alignment horizontal="right"/>
    </xf>
    <xf numFmtId="49" fontId="2" fillId="10" borderId="24" xfId="0" applyNumberFormat="1" applyFont="1" applyFill="1" applyBorder="1" applyAlignment="1">
      <alignment horizontal="right"/>
    </xf>
    <xf numFmtId="0" fontId="0" fillId="10" borderId="0" xfId="0" applyFill="1"/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</cellXfs>
  <cellStyles count="2">
    <cellStyle name="Normal" xfId="0" builtinId="0"/>
    <cellStyle name="Normal 2" xfId="1" xr:uid="{A01703E9-94C0-4805-A31E-F5AA98650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4</xdr:col>
      <xdr:colOff>285750</xdr:colOff>
      <xdr:row>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285750</xdr:colOff>
      <xdr:row>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ENWARE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4"/>
      <sheetName val="Feuil3"/>
      <sheetName val="BiClothoid_S"/>
      <sheetName val="Feuil1"/>
    </sheetNames>
    <definedNames>
      <definedName name="ClothoidS_Gt"/>
      <definedName name="D_PENTE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G47"/>
  <sheetViews>
    <sheetView workbookViewId="0">
      <selection activeCell="D8" sqref="D8"/>
    </sheetView>
  </sheetViews>
  <sheetFormatPr baseColWidth="10" defaultColWidth="9.140625" defaultRowHeight="12.75" x14ac:dyDescent="0.2"/>
  <cols>
    <col min="1" max="2" width="17.7109375" customWidth="1"/>
    <col min="3" max="3" width="14.28515625" customWidth="1"/>
    <col min="4" max="6" width="15.7109375" customWidth="1"/>
  </cols>
  <sheetData>
    <row r="1" spans="1:7" ht="20.100000000000001" customHeight="1" x14ac:dyDescent="0.2">
      <c r="A1" s="32" t="s">
        <v>6</v>
      </c>
      <c r="B1" s="32"/>
      <c r="C1" s="32"/>
      <c r="D1" s="32"/>
      <c r="E1" s="32"/>
      <c r="F1" s="32"/>
    </row>
    <row r="3" spans="1:7" x14ac:dyDescent="0.2">
      <c r="A3" s="31" t="s">
        <v>0</v>
      </c>
      <c r="B3" s="31"/>
      <c r="C3" s="31" t="s">
        <v>1</v>
      </c>
      <c r="D3" s="31"/>
      <c r="E3" s="31"/>
      <c r="F3" s="31"/>
    </row>
    <row r="4" spans="1:7" x14ac:dyDescent="0.2">
      <c r="A4" s="31" t="s">
        <v>2</v>
      </c>
      <c r="B4" s="31"/>
      <c r="C4" s="31" t="s">
        <v>3</v>
      </c>
      <c r="D4" s="31"/>
      <c r="E4" s="31"/>
      <c r="F4" s="31"/>
    </row>
    <row r="5" spans="1:7" x14ac:dyDescent="0.2">
      <c r="A5" s="31" t="s">
        <v>4</v>
      </c>
      <c r="B5" s="31"/>
      <c r="C5" s="31" t="s">
        <v>5</v>
      </c>
      <c r="D5" s="31"/>
      <c r="E5" s="31"/>
      <c r="F5" s="31"/>
    </row>
    <row r="6" spans="1:7" x14ac:dyDescent="0.2">
      <c r="A6" s="33" t="s">
        <v>7</v>
      </c>
      <c r="B6" s="34"/>
      <c r="C6" s="34"/>
      <c r="D6" s="34"/>
      <c r="E6" s="33" t="s">
        <v>8</v>
      </c>
      <c r="F6" s="34"/>
    </row>
    <row r="7" spans="1:7" x14ac:dyDescent="0.2">
      <c r="A7" s="1" t="s">
        <v>9</v>
      </c>
      <c r="B7" s="33" t="s">
        <v>10</v>
      </c>
      <c r="C7" s="34"/>
      <c r="D7" s="1" t="s">
        <v>11</v>
      </c>
      <c r="E7" s="1" t="s">
        <v>12</v>
      </c>
      <c r="F7" s="1" t="s">
        <v>13</v>
      </c>
    </row>
    <row r="8" spans="1:7" x14ac:dyDescent="0.2">
      <c r="A8" s="2" t="s">
        <v>14</v>
      </c>
      <c r="B8" s="3" t="s">
        <v>15</v>
      </c>
      <c r="C8" s="26">
        <v>7.4000000000000003E-3</v>
      </c>
      <c r="D8" s="5">
        <v>327.44</v>
      </c>
      <c r="E8" s="5">
        <v>0</v>
      </c>
      <c r="F8" s="5">
        <v>120.53100000000001</v>
      </c>
    </row>
    <row r="9" spans="1:7" x14ac:dyDescent="0.2">
      <c r="A9" s="6" t="s">
        <v>16</v>
      </c>
      <c r="B9" s="7" t="s">
        <v>17</v>
      </c>
      <c r="C9" s="8" t="s">
        <v>18</v>
      </c>
      <c r="D9" s="5">
        <v>641.85400000000004</v>
      </c>
      <c r="E9" s="5">
        <v>327.44</v>
      </c>
      <c r="F9" s="5">
        <v>122.962</v>
      </c>
      <c r="G9" cm="1">
        <f t="array" ref="G9">+[1]!D_PENTE(E8,F8,E9,F9)</f>
        <v>7.4242609333007494E-3</v>
      </c>
    </row>
    <row r="10" spans="1:7" x14ac:dyDescent="0.2">
      <c r="A10" s="9" t="s">
        <v>19</v>
      </c>
      <c r="B10" s="10" t="s">
        <v>20</v>
      </c>
      <c r="C10" s="11" t="s">
        <v>21</v>
      </c>
      <c r="D10" s="9" t="s">
        <v>19</v>
      </c>
      <c r="E10" s="9" t="s">
        <v>19</v>
      </c>
      <c r="F10" s="9" t="s">
        <v>19</v>
      </c>
    </row>
    <row r="11" spans="1:7" x14ac:dyDescent="0.2">
      <c r="A11" s="12" t="s">
        <v>19</v>
      </c>
      <c r="B11" s="13" t="s">
        <v>22</v>
      </c>
      <c r="C11" s="14" t="s">
        <v>23</v>
      </c>
      <c r="D11" s="9" t="s">
        <v>19</v>
      </c>
      <c r="E11" s="9" t="s">
        <v>19</v>
      </c>
      <c r="F11" s="9" t="s">
        <v>19</v>
      </c>
    </row>
    <row r="12" spans="1:7" x14ac:dyDescent="0.2">
      <c r="A12" s="2" t="s">
        <v>24</v>
      </c>
      <c r="B12" s="3" t="s">
        <v>15</v>
      </c>
      <c r="C12" s="4" t="s">
        <v>25</v>
      </c>
      <c r="D12" s="5">
        <v>262.73200000000003</v>
      </c>
      <c r="E12" s="5">
        <v>969.29399999999998</v>
      </c>
      <c r="F12" s="5">
        <v>123.60899999999999</v>
      </c>
    </row>
    <row r="13" spans="1:7" x14ac:dyDescent="0.2">
      <c r="A13" s="6" t="s">
        <v>26</v>
      </c>
      <c r="B13" s="7" t="s">
        <v>17</v>
      </c>
      <c r="C13" s="8" t="s">
        <v>27</v>
      </c>
      <c r="D13" s="5">
        <v>815.94799999999998</v>
      </c>
      <c r="E13" s="5">
        <v>1232.0260000000001</v>
      </c>
      <c r="F13" s="5">
        <v>122.187</v>
      </c>
      <c r="G13" cm="1">
        <f t="array" ref="G13">+[1]!D_PENTE(E12,F12,E13,F13)</f>
        <v>-5.4123593623920828E-3</v>
      </c>
    </row>
    <row r="14" spans="1:7" x14ac:dyDescent="0.2">
      <c r="A14" s="9" t="s">
        <v>19</v>
      </c>
      <c r="B14" s="10" t="s">
        <v>20</v>
      </c>
      <c r="C14" s="11" t="s">
        <v>28</v>
      </c>
      <c r="D14" s="9" t="s">
        <v>19</v>
      </c>
      <c r="E14" s="9" t="s">
        <v>19</v>
      </c>
      <c r="F14" s="9" t="s">
        <v>19</v>
      </c>
    </row>
    <row r="15" spans="1:7" x14ac:dyDescent="0.2">
      <c r="A15" s="12" t="s">
        <v>19</v>
      </c>
      <c r="B15" s="13" t="s">
        <v>22</v>
      </c>
      <c r="C15" s="14" t="s">
        <v>29</v>
      </c>
      <c r="D15" s="9" t="s">
        <v>19</v>
      </c>
      <c r="E15" s="9" t="s">
        <v>19</v>
      </c>
      <c r="F15" s="9" t="s">
        <v>19</v>
      </c>
    </row>
    <row r="16" spans="1:7" x14ac:dyDescent="0.2">
      <c r="A16" s="2" t="s">
        <v>30</v>
      </c>
      <c r="B16" s="3" t="s">
        <v>15</v>
      </c>
      <c r="C16" s="4" t="s">
        <v>31</v>
      </c>
      <c r="D16" s="5">
        <v>453.18599999999998</v>
      </c>
      <c r="E16" s="5">
        <v>2047.9739999999999</v>
      </c>
      <c r="F16" s="5">
        <v>122.209</v>
      </c>
    </row>
    <row r="17" spans="1:7" x14ac:dyDescent="0.2">
      <c r="A17" s="6" t="s">
        <v>32</v>
      </c>
      <c r="B17" s="7" t="s">
        <v>17</v>
      </c>
      <c r="C17" s="8" t="s">
        <v>33</v>
      </c>
      <c r="D17" s="5">
        <v>516.5</v>
      </c>
      <c r="E17" s="5">
        <v>2501.16</v>
      </c>
      <c r="F17" s="5">
        <v>124.687</v>
      </c>
      <c r="G17" cm="1">
        <f t="array" ref="G17">+[1]!D_PENTE(E16,F16,E17,F17)</f>
        <v>5.4679535554937597E-3</v>
      </c>
    </row>
    <row r="18" spans="1:7" x14ac:dyDescent="0.2">
      <c r="A18" s="9" t="s">
        <v>19</v>
      </c>
      <c r="B18" s="10" t="s">
        <v>20</v>
      </c>
      <c r="C18" s="11" t="s">
        <v>34</v>
      </c>
      <c r="D18" s="9" t="s">
        <v>19</v>
      </c>
      <c r="E18" s="9" t="s">
        <v>19</v>
      </c>
      <c r="F18" s="9" t="s">
        <v>19</v>
      </c>
    </row>
    <row r="19" spans="1:7" x14ac:dyDescent="0.2">
      <c r="A19" s="12" t="s">
        <v>19</v>
      </c>
      <c r="B19" s="13" t="s">
        <v>22</v>
      </c>
      <c r="C19" s="14" t="s">
        <v>35</v>
      </c>
      <c r="D19" s="9" t="s">
        <v>19</v>
      </c>
      <c r="E19" s="9" t="s">
        <v>19</v>
      </c>
      <c r="F19" s="9" t="s">
        <v>19</v>
      </c>
    </row>
    <row r="20" spans="1:7" x14ac:dyDescent="0.2">
      <c r="A20" s="2" t="s">
        <v>36</v>
      </c>
      <c r="B20" s="3" t="s">
        <v>15</v>
      </c>
      <c r="C20" s="4" t="s">
        <v>37</v>
      </c>
      <c r="D20" s="5">
        <v>141.25700000000001</v>
      </c>
      <c r="E20" s="5">
        <v>3017.6610000000001</v>
      </c>
      <c r="F20" s="5">
        <v>124.17700000000001</v>
      </c>
    </row>
    <row r="21" spans="1:7" x14ac:dyDescent="0.2">
      <c r="A21" s="6" t="s">
        <v>38</v>
      </c>
      <c r="B21" s="7" t="s">
        <v>17</v>
      </c>
      <c r="C21" s="8" t="s">
        <v>39</v>
      </c>
      <c r="D21" s="5">
        <v>842.16499999999996</v>
      </c>
      <c r="E21" s="5">
        <v>3158.9169999999999</v>
      </c>
      <c r="F21" s="5">
        <v>123.125</v>
      </c>
      <c r="G21" cm="1">
        <f t="array" ref="G21">+[1]!D_PENTE(E20,F20,E21,F21)</f>
        <v>-7.4474712578581279E-3</v>
      </c>
    </row>
    <row r="22" spans="1:7" x14ac:dyDescent="0.2">
      <c r="A22" s="9" t="s">
        <v>19</v>
      </c>
      <c r="B22" s="10" t="s">
        <v>20</v>
      </c>
      <c r="C22" s="11" t="s">
        <v>40</v>
      </c>
      <c r="D22" s="9" t="s">
        <v>19</v>
      </c>
      <c r="E22" s="9" t="s">
        <v>19</v>
      </c>
      <c r="F22" s="9" t="s">
        <v>19</v>
      </c>
    </row>
    <row r="23" spans="1:7" x14ac:dyDescent="0.2">
      <c r="A23" s="12" t="s">
        <v>19</v>
      </c>
      <c r="B23" s="13" t="s">
        <v>22</v>
      </c>
      <c r="C23" s="14" t="s">
        <v>41</v>
      </c>
      <c r="D23" s="9" t="s">
        <v>19</v>
      </c>
      <c r="E23" s="9" t="s">
        <v>19</v>
      </c>
      <c r="F23" s="9" t="s">
        <v>19</v>
      </c>
    </row>
    <row r="24" spans="1:7" x14ac:dyDescent="0.2">
      <c r="A24" s="2" t="s">
        <v>42</v>
      </c>
      <c r="B24" s="3" t="s">
        <v>15</v>
      </c>
      <c r="C24" s="4" t="s">
        <v>43</v>
      </c>
      <c r="D24" s="5">
        <v>350.60700000000003</v>
      </c>
      <c r="E24" s="5">
        <v>4001.0830000000001</v>
      </c>
      <c r="F24" s="5">
        <v>121.92100000000001</v>
      </c>
    </row>
    <row r="25" spans="1:7" x14ac:dyDescent="0.2">
      <c r="A25" s="6" t="s">
        <v>44</v>
      </c>
      <c r="B25" s="7" t="s">
        <v>17</v>
      </c>
      <c r="C25" s="8" t="s">
        <v>45</v>
      </c>
      <c r="D25" s="5">
        <v>1013.109</v>
      </c>
      <c r="E25" s="5">
        <v>4351.6899999999996</v>
      </c>
      <c r="F25" s="5">
        <v>123.529</v>
      </c>
      <c r="G25" cm="1">
        <f t="array" ref="G25">+[1]!D_PENTE(E24,F24,E25,F25)</f>
        <v>4.5863317047292046E-3</v>
      </c>
    </row>
    <row r="26" spans="1:7" x14ac:dyDescent="0.2">
      <c r="A26" s="9" t="s">
        <v>19</v>
      </c>
      <c r="B26" s="10" t="s">
        <v>20</v>
      </c>
      <c r="C26" s="11" t="s">
        <v>46</v>
      </c>
      <c r="D26" s="9" t="s">
        <v>19</v>
      </c>
      <c r="E26" s="9" t="s">
        <v>19</v>
      </c>
      <c r="F26" s="9" t="s">
        <v>19</v>
      </c>
    </row>
    <row r="27" spans="1:7" x14ac:dyDescent="0.2">
      <c r="A27" s="12" t="s">
        <v>19</v>
      </c>
      <c r="B27" s="13" t="s">
        <v>22</v>
      </c>
      <c r="C27" s="14" t="s">
        <v>47</v>
      </c>
      <c r="D27" s="9" t="s">
        <v>19</v>
      </c>
      <c r="E27" s="9" t="s">
        <v>19</v>
      </c>
      <c r="F27" s="9" t="s">
        <v>19</v>
      </c>
    </row>
    <row r="28" spans="1:7" x14ac:dyDescent="0.2">
      <c r="A28" s="2" t="s">
        <v>48</v>
      </c>
      <c r="B28" s="3" t="s">
        <v>15</v>
      </c>
      <c r="C28" s="4" t="s">
        <v>49</v>
      </c>
      <c r="D28" s="5">
        <v>272.875</v>
      </c>
      <c r="E28" s="5">
        <v>5364.799</v>
      </c>
      <c r="F28" s="5">
        <v>123.04300000000001</v>
      </c>
    </row>
    <row r="29" spans="1:7" x14ac:dyDescent="0.2">
      <c r="A29" s="34" t="s">
        <v>19</v>
      </c>
      <c r="B29" s="34"/>
      <c r="C29" s="34"/>
      <c r="D29" s="34"/>
      <c r="E29" s="15">
        <v>5637.674</v>
      </c>
      <c r="F29" s="15">
        <v>121.53</v>
      </c>
      <c r="G29" cm="1">
        <f t="array" ref="G29">+[1]!D_PENTE(E28,F28,E29,F29)</f>
        <v>-5.5446633073751913E-3</v>
      </c>
    </row>
    <row r="30" spans="1:7" x14ac:dyDescent="0.2">
      <c r="A30" s="33" t="s">
        <v>50</v>
      </c>
      <c r="B30" s="34"/>
      <c r="C30" s="34"/>
      <c r="D30" s="34"/>
      <c r="E30" s="34"/>
      <c r="F30" s="34"/>
    </row>
    <row r="31" spans="1:7" x14ac:dyDescent="0.2">
      <c r="A31" s="33" t="s">
        <v>51</v>
      </c>
      <c r="B31" s="34"/>
      <c r="C31" s="34"/>
      <c r="D31" s="34"/>
      <c r="E31" s="34"/>
      <c r="F31" s="34"/>
    </row>
    <row r="35" spans="1:4" x14ac:dyDescent="0.2">
      <c r="A35" t="s">
        <v>381</v>
      </c>
      <c r="B35" t="s">
        <v>403</v>
      </c>
      <c r="C35" t="s">
        <v>404</v>
      </c>
      <c r="D35" t="s">
        <v>405</v>
      </c>
    </row>
    <row r="36" spans="1:4" x14ac:dyDescent="0.2">
      <c r="A36">
        <v>0</v>
      </c>
      <c r="B36">
        <v>120.53100000000001</v>
      </c>
      <c r="C36">
        <v>7.424E-3</v>
      </c>
      <c r="D36">
        <v>0</v>
      </c>
    </row>
    <row r="37" spans="1:4" x14ac:dyDescent="0.2">
      <c r="A37">
        <v>327.44</v>
      </c>
      <c r="B37">
        <v>122.962</v>
      </c>
      <c r="C37">
        <v>7.424E-3</v>
      </c>
      <c r="D37">
        <v>-50000</v>
      </c>
    </row>
    <row r="38" spans="1:4" x14ac:dyDescent="0.2">
      <c r="A38">
        <v>969.29399999999998</v>
      </c>
      <c r="B38">
        <v>123.60899999999999</v>
      </c>
      <c r="C38">
        <v>-5.4099999999999999E-3</v>
      </c>
      <c r="D38">
        <v>0</v>
      </c>
    </row>
    <row r="39" spans="1:4" x14ac:dyDescent="0.2">
      <c r="A39">
        <v>1232.0260000000001</v>
      </c>
      <c r="B39">
        <v>122.187</v>
      </c>
      <c r="C39">
        <v>-5.4099999999999999E-3</v>
      </c>
      <c r="D39">
        <v>75000</v>
      </c>
    </row>
    <row r="40" spans="1:4" x14ac:dyDescent="0.2">
      <c r="A40">
        <v>2047.9739999999999</v>
      </c>
      <c r="B40">
        <v>122.209</v>
      </c>
      <c r="C40">
        <v>5.4679999999999998E-3</v>
      </c>
      <c r="D40">
        <v>0</v>
      </c>
    </row>
    <row r="41" spans="1:4" x14ac:dyDescent="0.2">
      <c r="A41">
        <v>2501.16</v>
      </c>
      <c r="B41">
        <v>124.687</v>
      </c>
      <c r="C41">
        <v>5.4679999999999998E-3</v>
      </c>
      <c r="D41">
        <v>-40000</v>
      </c>
    </row>
    <row r="42" spans="1:4" x14ac:dyDescent="0.2">
      <c r="A42">
        <v>3017.66</v>
      </c>
      <c r="B42">
        <v>124.17700000000001</v>
      </c>
      <c r="C42">
        <v>-7.45E-3</v>
      </c>
      <c r="D42">
        <v>0</v>
      </c>
    </row>
    <row r="43" spans="1:4" x14ac:dyDescent="0.2">
      <c r="A43">
        <v>3158.9169999999999</v>
      </c>
      <c r="B43">
        <v>123.125</v>
      </c>
      <c r="C43">
        <v>-7.45E-3</v>
      </c>
      <c r="D43">
        <v>70000</v>
      </c>
    </row>
    <row r="44" spans="1:4" x14ac:dyDescent="0.2">
      <c r="A44">
        <v>4001.0819999999999</v>
      </c>
      <c r="B44">
        <v>121.92100000000001</v>
      </c>
      <c r="C44">
        <v>4.5859999999999998E-3</v>
      </c>
      <c r="D44">
        <v>0</v>
      </c>
    </row>
    <row r="45" spans="1:4" x14ac:dyDescent="0.2">
      <c r="A45">
        <v>4351.6890000000003</v>
      </c>
      <c r="B45">
        <v>123.529</v>
      </c>
      <c r="C45">
        <v>4.5859999999999998E-3</v>
      </c>
      <c r="D45">
        <v>-100000</v>
      </c>
    </row>
    <row r="46" spans="1:4" x14ac:dyDescent="0.2">
      <c r="A46">
        <v>5364.7979999999998</v>
      </c>
      <c r="B46">
        <v>123.04300000000001</v>
      </c>
      <c r="C46">
        <v>-5.5399999999999998E-3</v>
      </c>
      <c r="D46">
        <v>0</v>
      </c>
    </row>
    <row r="47" spans="1:4" x14ac:dyDescent="0.2">
      <c r="A47">
        <v>999999999</v>
      </c>
      <c r="B47">
        <v>0</v>
      </c>
      <c r="C47">
        <v>0</v>
      </c>
      <c r="D47">
        <v>0</v>
      </c>
    </row>
  </sheetData>
  <mergeCells count="13">
    <mergeCell ref="A1:F1"/>
    <mergeCell ref="A31:F31"/>
    <mergeCell ref="A6:D6"/>
    <mergeCell ref="E6:F6"/>
    <mergeCell ref="B7:C7"/>
    <mergeCell ref="A29:D29"/>
    <mergeCell ref="A30:F30"/>
    <mergeCell ref="A3:B3"/>
    <mergeCell ref="C3:F3"/>
    <mergeCell ref="A4:B4"/>
    <mergeCell ref="C4:F4"/>
    <mergeCell ref="A5:B5"/>
    <mergeCell ref="C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T38"/>
  <sheetViews>
    <sheetView topLeftCell="A3" workbookViewId="0">
      <selection activeCell="E42" sqref="E42"/>
    </sheetView>
  </sheetViews>
  <sheetFormatPr baseColWidth="10" defaultColWidth="9.140625" defaultRowHeight="12.75" x14ac:dyDescent="0.2"/>
  <cols>
    <col min="1" max="3" width="16.85546875" customWidth="1"/>
    <col min="4" max="7" width="14.85546875" customWidth="1"/>
    <col min="8" max="8" width="16.5703125" bestFit="1" customWidth="1"/>
    <col min="9" max="9" width="12.5703125" bestFit="1" customWidth="1"/>
    <col min="12" max="12" width="10.5703125" bestFit="1" customWidth="1"/>
  </cols>
  <sheetData>
    <row r="1" spans="1:9" ht="20.100000000000001" customHeight="1" x14ac:dyDescent="0.2">
      <c r="A1" s="32" t="s">
        <v>52</v>
      </c>
      <c r="B1" s="32"/>
      <c r="C1" s="32"/>
      <c r="D1" s="32"/>
      <c r="E1" s="32"/>
      <c r="F1" s="32"/>
      <c r="G1" s="32"/>
    </row>
    <row r="3" spans="1:9" x14ac:dyDescent="0.2">
      <c r="A3" s="31" t="s">
        <v>0</v>
      </c>
      <c r="B3" s="31"/>
      <c r="C3" s="31" t="s">
        <v>1</v>
      </c>
      <c r="D3" s="31"/>
      <c r="E3" s="31"/>
      <c r="F3" s="31"/>
    </row>
    <row r="4" spans="1:9" x14ac:dyDescent="0.2">
      <c r="A4" s="31" t="s">
        <v>2</v>
      </c>
      <c r="B4" s="31"/>
      <c r="C4" s="31" t="s">
        <v>3</v>
      </c>
      <c r="D4" s="31"/>
      <c r="E4" s="31"/>
      <c r="F4" s="31"/>
    </row>
    <row r="5" spans="1:9" x14ac:dyDescent="0.2">
      <c r="A5" s="31" t="s">
        <v>4</v>
      </c>
      <c r="B5" s="31"/>
      <c r="C5" s="31" t="s">
        <v>5</v>
      </c>
      <c r="D5" s="31"/>
      <c r="E5" s="31"/>
      <c r="F5" s="31"/>
    </row>
    <row r="6" spans="1:9" x14ac:dyDescent="0.2">
      <c r="A6" s="33" t="s">
        <v>7</v>
      </c>
      <c r="B6" s="34"/>
      <c r="C6" s="34"/>
      <c r="D6" s="34"/>
      <c r="E6" s="33" t="s">
        <v>8</v>
      </c>
      <c r="F6" s="34"/>
      <c r="G6" s="34"/>
    </row>
    <row r="7" spans="1:9" x14ac:dyDescent="0.2">
      <c r="A7" s="1" t="s">
        <v>9</v>
      </c>
      <c r="B7" s="33" t="s">
        <v>53</v>
      </c>
      <c r="C7" s="34"/>
      <c r="D7" s="1" t="s">
        <v>11</v>
      </c>
      <c r="E7" s="1" t="s">
        <v>12</v>
      </c>
      <c r="F7" s="1" t="s">
        <v>54</v>
      </c>
      <c r="G7" s="1" t="s">
        <v>55</v>
      </c>
      <c r="H7" s="1" t="s">
        <v>401</v>
      </c>
      <c r="I7" s="1" t="s">
        <v>402</v>
      </c>
    </row>
    <row r="8" spans="1:9" x14ac:dyDescent="0.2">
      <c r="A8" s="2" t="s">
        <v>56</v>
      </c>
      <c r="B8" s="3" t="s">
        <v>57</v>
      </c>
      <c r="C8" s="4" t="s">
        <v>58</v>
      </c>
      <c r="D8" s="16">
        <v>801.73599999999999</v>
      </c>
      <c r="E8" s="5">
        <v>0</v>
      </c>
      <c r="F8" s="5">
        <v>6799.6130000000003</v>
      </c>
      <c r="G8" s="5">
        <v>1577.4690000000001</v>
      </c>
      <c r="H8">
        <f>INDEX(Tabulation!G:G, MATCH($E8, Tabulation!B:B, 0))</f>
        <v>354.42140000000001</v>
      </c>
      <c r="I8">
        <f>+H8-100</f>
        <v>254.42140000000001</v>
      </c>
    </row>
    <row r="9" spans="1:9" x14ac:dyDescent="0.2">
      <c r="A9" s="9" t="s">
        <v>59</v>
      </c>
      <c r="B9" s="7" t="s">
        <v>17</v>
      </c>
      <c r="C9" s="8">
        <v>-1000</v>
      </c>
      <c r="D9" s="5">
        <v>667.34400000000005</v>
      </c>
      <c r="E9" s="5">
        <v>801.73599999999999</v>
      </c>
      <c r="F9" s="5">
        <v>6194.7250000000004</v>
      </c>
      <c r="G9" s="5">
        <v>1051.2639999999999</v>
      </c>
      <c r="H9">
        <f>INDEX(Tabulation!G:G, MATCH($E9, Tabulation!B:B, 0))</f>
        <v>354.42140000000001</v>
      </c>
      <c r="I9">
        <f t="shared" ref="I9:I24" si="0">+H9-100</f>
        <v>254.42140000000001</v>
      </c>
    </row>
    <row r="10" spans="1:9" x14ac:dyDescent="0.2">
      <c r="A10" s="9" t="s">
        <v>19</v>
      </c>
      <c r="B10" s="10" t="s">
        <v>60</v>
      </c>
      <c r="C10" s="11">
        <v>5538.3940000000002</v>
      </c>
      <c r="D10" s="9" t="s">
        <v>19</v>
      </c>
      <c r="E10" s="9" t="s">
        <v>19</v>
      </c>
      <c r="F10" s="9" t="s">
        <v>19</v>
      </c>
      <c r="G10" s="9" t="s">
        <v>19</v>
      </c>
      <c r="H10" t="str">
        <f>INDEX(Tabulation!G:G, MATCH($E10, Tabulation!B:B, 0))</f>
        <v> </v>
      </c>
    </row>
    <row r="11" spans="1:9" x14ac:dyDescent="0.2">
      <c r="A11" s="12" t="s">
        <v>19</v>
      </c>
      <c r="B11" s="13" t="s">
        <v>61</v>
      </c>
      <c r="C11" s="14">
        <v>1805.7360000000001</v>
      </c>
      <c r="D11" s="12" t="s">
        <v>19</v>
      </c>
      <c r="E11" s="9" t="s">
        <v>19</v>
      </c>
      <c r="F11" s="9" t="s">
        <v>19</v>
      </c>
      <c r="G11" s="9" t="s">
        <v>19</v>
      </c>
      <c r="H11" t="str">
        <f>INDEX(Tabulation!G:G, MATCH($E11, Tabulation!B:B, 0))</f>
        <v> </v>
      </c>
    </row>
    <row r="12" spans="1:9" x14ac:dyDescent="0.2">
      <c r="A12" s="2" t="s">
        <v>62</v>
      </c>
      <c r="B12" s="3" t="s">
        <v>63</v>
      </c>
      <c r="C12" s="17">
        <v>750</v>
      </c>
      <c r="D12" s="16">
        <v>562.5</v>
      </c>
      <c r="E12" s="5">
        <v>1469.08</v>
      </c>
      <c r="F12" s="5">
        <v>5586.9759999999997</v>
      </c>
      <c r="G12" s="5">
        <v>806.91700000000003</v>
      </c>
      <c r="H12">
        <f>INDEX(Tabulation!G:G, MATCH($E12, Tabulation!B:B, 0))</f>
        <v>396.90589999999997</v>
      </c>
      <c r="I12">
        <f t="shared" si="0"/>
        <v>296.90589999999997</v>
      </c>
    </row>
    <row r="13" spans="1:9" x14ac:dyDescent="0.2">
      <c r="A13" s="2" t="s">
        <v>64</v>
      </c>
      <c r="B13" s="3" t="s">
        <v>57</v>
      </c>
      <c r="C13" s="4" t="s">
        <v>65</v>
      </c>
      <c r="D13" s="16">
        <v>818.39499999999998</v>
      </c>
      <c r="E13" s="5">
        <v>2031.58</v>
      </c>
      <c r="F13" s="5">
        <v>5031.8549999999996</v>
      </c>
      <c r="G13" s="5">
        <v>884.55799999999999</v>
      </c>
      <c r="H13">
        <f>INDEX(Tabulation!G:G, MATCH($E13, Tabulation!B:B, 0))</f>
        <v>14.8108</v>
      </c>
      <c r="I13">
        <f>+H13-100+400</f>
        <v>314.81079999999997</v>
      </c>
    </row>
    <row r="14" spans="1:9" x14ac:dyDescent="0.2">
      <c r="A14" s="2" t="s">
        <v>66</v>
      </c>
      <c r="B14" s="3" t="s">
        <v>63</v>
      </c>
      <c r="C14" s="17">
        <v>750</v>
      </c>
      <c r="D14" s="16">
        <v>375</v>
      </c>
      <c r="E14" s="5">
        <v>2849.9749999999999</v>
      </c>
      <c r="F14" s="5">
        <v>4235.5079999999998</v>
      </c>
      <c r="G14" s="5">
        <v>1073.2429999999999</v>
      </c>
      <c r="H14">
        <f>INDEX(Tabulation!G:G, MATCH($E14, Tabulation!B:B, 0))</f>
        <v>14.8108</v>
      </c>
      <c r="I14">
        <f>+H14-100+400</f>
        <v>314.81079999999997</v>
      </c>
    </row>
    <row r="15" spans="1:9" x14ac:dyDescent="0.2">
      <c r="A15" s="9" t="s">
        <v>67</v>
      </c>
      <c r="B15" s="7" t="s">
        <v>17</v>
      </c>
      <c r="C15" s="8">
        <v>1500</v>
      </c>
      <c r="D15" s="5">
        <v>602.01499999999999</v>
      </c>
      <c r="E15" s="5">
        <v>3224.9749999999999</v>
      </c>
      <c r="F15" s="5">
        <v>3867.5819999999999</v>
      </c>
      <c r="G15" s="5">
        <v>1144.3789999999999</v>
      </c>
      <c r="H15">
        <f>INDEX(Tabulation!G:G, MATCH($E15, Tabulation!B:B, 0))</f>
        <v>6.8531000000000004</v>
      </c>
      <c r="I15">
        <f>+H15-100+400</f>
        <v>306.85309999999998</v>
      </c>
    </row>
    <row r="16" spans="1:9" x14ac:dyDescent="0.2">
      <c r="A16" s="9" t="s">
        <v>19</v>
      </c>
      <c r="B16" s="10" t="s">
        <v>60</v>
      </c>
      <c r="C16" s="11">
        <v>3706.422</v>
      </c>
      <c r="D16" s="9" t="s">
        <v>19</v>
      </c>
      <c r="E16" s="9" t="s">
        <v>19</v>
      </c>
      <c r="F16" s="9" t="s">
        <v>19</v>
      </c>
      <c r="G16" s="9" t="s">
        <v>19</v>
      </c>
      <c r="H16" t="str">
        <f>INDEX(Tabulation!G:G, MATCH($E16, Tabulation!B:B, 0))</f>
        <v> </v>
      </c>
    </row>
    <row r="17" spans="1:13" x14ac:dyDescent="0.2">
      <c r="A17" s="12" t="s">
        <v>19</v>
      </c>
      <c r="B17" s="13" t="s">
        <v>61</v>
      </c>
      <c r="C17" s="14">
        <v>-346.93799999999999</v>
      </c>
      <c r="D17" s="12" t="s">
        <v>19</v>
      </c>
      <c r="E17" s="9" t="s">
        <v>19</v>
      </c>
      <c r="F17" s="9" t="s">
        <v>19</v>
      </c>
      <c r="G17" s="9" t="s">
        <v>19</v>
      </c>
      <c r="H17" t="str">
        <f>INDEX(Tabulation!G:G, MATCH($E17, Tabulation!B:B, 0))</f>
        <v> </v>
      </c>
    </row>
    <row r="18" spans="1:13" x14ac:dyDescent="0.2">
      <c r="A18" s="2" t="s">
        <v>68</v>
      </c>
      <c r="B18" s="3" t="s">
        <v>63</v>
      </c>
      <c r="C18" s="17">
        <v>-865.59699999999998</v>
      </c>
      <c r="D18" s="16">
        <v>499.505</v>
      </c>
      <c r="E18" s="5">
        <v>3826.99</v>
      </c>
      <c r="F18" s="5">
        <v>3272.1849999999999</v>
      </c>
      <c r="G18" s="5">
        <v>1088.8330000000001</v>
      </c>
      <c r="H18">
        <f>INDEX(Tabulation!G:G, MATCH($E18, Tabulation!B:B, 0))</f>
        <v>381.30279999999999</v>
      </c>
      <c r="I18">
        <f t="shared" si="0"/>
        <v>281.30279999999999</v>
      </c>
    </row>
    <row r="19" spans="1:13" x14ac:dyDescent="0.2">
      <c r="A19" s="2" t="s">
        <v>69</v>
      </c>
      <c r="B19" s="3" t="s">
        <v>63</v>
      </c>
      <c r="C19" s="17">
        <v>-865.59699999999998</v>
      </c>
      <c r="D19" s="16">
        <v>624.38199999999995</v>
      </c>
      <c r="E19" s="5">
        <v>4326.4949999999999</v>
      </c>
      <c r="F19" s="5">
        <v>2813.5970000000002</v>
      </c>
      <c r="G19" s="5">
        <v>892.39400000000001</v>
      </c>
      <c r="H19">
        <f>INDEX(Tabulation!G:G, MATCH($E19, Tabulation!B:B, 0))</f>
        <v>370.70299999999997</v>
      </c>
      <c r="I19">
        <f t="shared" si="0"/>
        <v>270.70299999999997</v>
      </c>
    </row>
    <row r="20" spans="1:13" x14ac:dyDescent="0.2">
      <c r="A20" s="9" t="s">
        <v>70</v>
      </c>
      <c r="B20" s="7" t="s">
        <v>17</v>
      </c>
      <c r="C20" s="8">
        <v>-1200</v>
      </c>
      <c r="D20" s="5">
        <v>162.42099999999999</v>
      </c>
      <c r="E20" s="5">
        <v>4950.8770000000004</v>
      </c>
      <c r="F20" s="5">
        <v>2234.0160000000001</v>
      </c>
      <c r="G20" s="5">
        <v>665.24099999999999</v>
      </c>
      <c r="H20">
        <f>INDEX(Tabulation!G:G, MATCH($E20, Tabulation!B:B, 0))</f>
        <v>387.26519999999999</v>
      </c>
      <c r="I20">
        <f t="shared" si="0"/>
        <v>287.26519999999999</v>
      </c>
    </row>
    <row r="21" spans="1:13" x14ac:dyDescent="0.2">
      <c r="A21" s="9" t="s">
        <v>19</v>
      </c>
      <c r="B21" s="10" t="s">
        <v>60</v>
      </c>
      <c r="C21" s="11">
        <v>1995.568</v>
      </c>
      <c r="D21" s="9" t="s">
        <v>19</v>
      </c>
      <c r="E21" s="9" t="s">
        <v>19</v>
      </c>
      <c r="F21" s="9" t="s">
        <v>19</v>
      </c>
      <c r="G21" s="9" t="s">
        <v>19</v>
      </c>
      <c r="H21" t="str">
        <f>INDEX(Tabulation!G:G, MATCH($E21, Tabulation!B:B, 0))</f>
        <v> </v>
      </c>
    </row>
    <row r="22" spans="1:13" x14ac:dyDescent="0.2">
      <c r="A22" s="12" t="s">
        <v>19</v>
      </c>
      <c r="B22" s="13" t="s">
        <v>61</v>
      </c>
      <c r="C22" s="14">
        <v>1841.3119999999999</v>
      </c>
      <c r="D22" s="12" t="s">
        <v>19</v>
      </c>
      <c r="E22" s="9" t="s">
        <v>19</v>
      </c>
      <c r="F22" s="9" t="s">
        <v>19</v>
      </c>
      <c r="G22" s="9" t="s">
        <v>19</v>
      </c>
      <c r="H22" t="str">
        <f>INDEX(Tabulation!G:G, MATCH($E22, Tabulation!B:B, 0))</f>
        <v> </v>
      </c>
    </row>
    <row r="23" spans="1:13" x14ac:dyDescent="0.2">
      <c r="A23" s="2" t="s">
        <v>71</v>
      </c>
      <c r="B23" s="3" t="s">
        <v>57</v>
      </c>
      <c r="C23" s="4" t="s">
        <v>72</v>
      </c>
      <c r="D23" s="16">
        <v>524.37599999999998</v>
      </c>
      <c r="E23" s="5">
        <v>5113.2979999999998</v>
      </c>
      <c r="F23" s="5">
        <v>2073.1379999999999</v>
      </c>
      <c r="G23" s="5">
        <v>643.82100000000003</v>
      </c>
      <c r="H23">
        <f>INDEX(Tabulation!G:G, MATCH($E23, Tabulation!B:B, 0))</f>
        <v>395.88189999999997</v>
      </c>
      <c r="I23">
        <f t="shared" si="0"/>
        <v>295.88189999999997</v>
      </c>
    </row>
    <row r="24" spans="1:13" x14ac:dyDescent="0.2">
      <c r="A24" s="34" t="s">
        <v>19</v>
      </c>
      <c r="B24" s="34"/>
      <c r="C24" s="34"/>
      <c r="D24" s="34"/>
      <c r="E24" s="15">
        <v>5637.674</v>
      </c>
      <c r="F24" s="15">
        <v>1549.8589999999999</v>
      </c>
      <c r="G24" s="15">
        <v>609.92499999999995</v>
      </c>
      <c r="H24">
        <f>INDEX(Tabulation!G:G, MATCH($E24, Tabulation!B:B, 0))</f>
        <v>395.88189999999997</v>
      </c>
      <c r="I24">
        <f t="shared" si="0"/>
        <v>295.88189999999997</v>
      </c>
    </row>
    <row r="25" spans="1:13" x14ac:dyDescent="0.2">
      <c r="A25" s="33" t="s">
        <v>50</v>
      </c>
      <c r="B25" s="34"/>
      <c r="C25" s="34"/>
      <c r="D25" s="34"/>
      <c r="E25" s="34"/>
      <c r="F25" s="34"/>
      <c r="G25" s="34"/>
    </row>
    <row r="28" spans="1:13" x14ac:dyDescent="0.2">
      <c r="A28" t="s">
        <v>381</v>
      </c>
      <c r="B28" t="s">
        <v>382</v>
      </c>
      <c r="C28" t="s">
        <v>383</v>
      </c>
      <c r="D28" t="s">
        <v>384</v>
      </c>
      <c r="E28" t="s">
        <v>385</v>
      </c>
      <c r="F28" t="s">
        <v>386</v>
      </c>
      <c r="G28" t="s">
        <v>387</v>
      </c>
      <c r="H28" t="s">
        <v>388</v>
      </c>
      <c r="I28" t="s">
        <v>389</v>
      </c>
      <c r="J28" t="s">
        <v>390</v>
      </c>
      <c r="K28" t="s">
        <v>391</v>
      </c>
      <c r="L28" t="s">
        <v>392</v>
      </c>
      <c r="M28" t="s">
        <v>393</v>
      </c>
    </row>
    <row r="29" spans="1:13" x14ac:dyDescent="0.2">
      <c r="A29">
        <v>0</v>
      </c>
      <c r="B29">
        <v>6799.6130000000003</v>
      </c>
      <c r="C29">
        <v>1577.4690000000001</v>
      </c>
      <c r="D29">
        <v>254.42140000000001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394</v>
      </c>
    </row>
    <row r="30" spans="1:13" x14ac:dyDescent="0.2">
      <c r="A30">
        <v>801.73599999999999</v>
      </c>
      <c r="B30">
        <v>6194.7250000000004</v>
      </c>
      <c r="C30">
        <v>1051.2639999999999</v>
      </c>
      <c r="D30">
        <v>254.42140000000001</v>
      </c>
      <c r="E30">
        <v>-1000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395</v>
      </c>
    </row>
    <row r="31" spans="1:13" x14ac:dyDescent="0.2">
      <c r="A31">
        <v>1469.08</v>
      </c>
      <c r="B31">
        <v>5586.9759999999997</v>
      </c>
      <c r="C31">
        <v>806.91700000000003</v>
      </c>
      <c r="D31">
        <v>396.90589999999997</v>
      </c>
      <c r="E31">
        <v>-1000</v>
      </c>
      <c r="F31">
        <v>750</v>
      </c>
      <c r="G31">
        <v>5031.8549999999996</v>
      </c>
      <c r="H31">
        <v>884.55799999999999</v>
      </c>
      <c r="I31">
        <v>750</v>
      </c>
      <c r="J31">
        <v>-1000</v>
      </c>
      <c r="K31">
        <v>0</v>
      </c>
      <c r="L31">
        <v>0</v>
      </c>
      <c r="M31" t="s">
        <v>396</v>
      </c>
    </row>
    <row r="32" spans="1:13" x14ac:dyDescent="0.2">
      <c r="A32">
        <v>2031.58</v>
      </c>
      <c r="B32">
        <v>5031.8549999999996</v>
      </c>
      <c r="C32">
        <v>884.55799999999999</v>
      </c>
      <c r="D32">
        <v>314.81079999999997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394</v>
      </c>
    </row>
    <row r="33" spans="1:13" x14ac:dyDescent="0.2">
      <c r="A33">
        <v>2849.9749999999999</v>
      </c>
      <c r="B33">
        <v>4235.5079999999998</v>
      </c>
      <c r="C33">
        <v>1073.2429999999999</v>
      </c>
      <c r="D33">
        <v>314.81079999999997</v>
      </c>
      <c r="E33">
        <v>1500</v>
      </c>
      <c r="F33">
        <v>750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397</v>
      </c>
    </row>
    <row r="34" spans="1:13" x14ac:dyDescent="0.2">
      <c r="A34">
        <v>3224.9749999999999</v>
      </c>
      <c r="B34">
        <v>3867.5819999999999</v>
      </c>
      <c r="C34">
        <v>1144.3789999999999</v>
      </c>
      <c r="D34">
        <v>306.85309999999998</v>
      </c>
      <c r="E34">
        <v>1500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395</v>
      </c>
    </row>
    <row r="35" spans="1:13" x14ac:dyDescent="0.2">
      <c r="A35">
        <v>3826.99</v>
      </c>
      <c r="B35">
        <v>3272.1849999999999</v>
      </c>
      <c r="C35">
        <v>1088.8330000000001</v>
      </c>
      <c r="D35">
        <v>81.302800000000005</v>
      </c>
      <c r="E35">
        <v>0</v>
      </c>
      <c r="F35">
        <v>0</v>
      </c>
      <c r="G35">
        <v>2813.5970000000002</v>
      </c>
      <c r="H35">
        <v>892.39400000000001</v>
      </c>
      <c r="I35">
        <v>-865.59699999999998</v>
      </c>
      <c r="J35">
        <v>1500</v>
      </c>
      <c r="K35">
        <v>-865.59699999999998</v>
      </c>
      <c r="L35">
        <v>-1200</v>
      </c>
      <c r="M35" t="s">
        <v>398</v>
      </c>
    </row>
    <row r="36" spans="1:13" x14ac:dyDescent="0.2">
      <c r="A36">
        <v>4950.8770000000004</v>
      </c>
      <c r="B36">
        <v>2234.0160000000001</v>
      </c>
      <c r="C36">
        <v>665.24099999999999</v>
      </c>
      <c r="D36">
        <v>287.26519999999999</v>
      </c>
      <c r="E36">
        <v>-1200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395</v>
      </c>
    </row>
    <row r="37" spans="1:13" x14ac:dyDescent="0.2">
      <c r="A37">
        <v>5113.2984999999999</v>
      </c>
      <c r="B37">
        <v>2073.1379999999999</v>
      </c>
      <c r="C37">
        <v>643.82100000000003</v>
      </c>
      <c r="D37">
        <v>295.88189999999997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394</v>
      </c>
    </row>
    <row r="38" spans="1:13" x14ac:dyDescent="0.2">
      <c r="A38">
        <v>999999999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399</v>
      </c>
    </row>
  </sheetData>
  <mergeCells count="12">
    <mergeCell ref="A5:B5"/>
    <mergeCell ref="C5:F5"/>
    <mergeCell ref="A1:G1"/>
    <mergeCell ref="A3:B3"/>
    <mergeCell ref="C3:F3"/>
    <mergeCell ref="A4:B4"/>
    <mergeCell ref="C4:F4"/>
    <mergeCell ref="A25:G25"/>
    <mergeCell ref="A6:D6"/>
    <mergeCell ref="E6:G6"/>
    <mergeCell ref="B7:C7"/>
    <mergeCell ref="A24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Y299"/>
  <sheetViews>
    <sheetView tabSelected="1" topLeftCell="F1" zoomScale="130" zoomScaleNormal="130" workbookViewId="0">
      <pane ySplit="7" topLeftCell="A254" activePane="bottomLeft" state="frozen"/>
      <selection pane="bottomLeft" activeCell="G262" sqref="G262"/>
    </sheetView>
  </sheetViews>
  <sheetFormatPr baseColWidth="10" defaultColWidth="9.140625" defaultRowHeight="12.75" x14ac:dyDescent="0.2"/>
  <cols>
    <col min="1" max="1" width="8.7109375" customWidth="1"/>
    <col min="2" max="2" width="12.140625" customWidth="1"/>
    <col min="3" max="3" width="9.28515625" customWidth="1"/>
    <col min="4" max="5" width="13.42578125" customWidth="1"/>
    <col min="6" max="6" width="9.7109375" customWidth="1"/>
    <col min="7" max="7" width="9.28515625" customWidth="1"/>
    <col min="8" max="9" width="13.42578125" customWidth="1"/>
    <col min="10" max="10" width="9.7109375" customWidth="1"/>
  </cols>
  <sheetData>
    <row r="1" spans="1:10" ht="20.100000000000001" customHeight="1" x14ac:dyDescent="0.2">
      <c r="A1" s="32" t="s">
        <v>73</v>
      </c>
      <c r="B1" s="32"/>
      <c r="C1" s="32"/>
      <c r="D1" s="32"/>
      <c r="E1" s="32"/>
      <c r="F1" s="32"/>
      <c r="G1" s="32"/>
      <c r="H1" s="32"/>
      <c r="I1" s="32"/>
      <c r="J1" s="32"/>
    </row>
    <row r="3" spans="1:10" x14ac:dyDescent="0.2">
      <c r="A3" s="31" t="s">
        <v>0</v>
      </c>
      <c r="B3" s="31"/>
      <c r="C3" s="31" t="s">
        <v>1</v>
      </c>
      <c r="D3" s="31"/>
      <c r="E3" s="31"/>
      <c r="F3" s="31"/>
    </row>
    <row r="4" spans="1:10" x14ac:dyDescent="0.2">
      <c r="A4" s="31" t="s">
        <v>2</v>
      </c>
      <c r="B4" s="31"/>
      <c r="C4" s="31" t="s">
        <v>3</v>
      </c>
      <c r="D4" s="31"/>
      <c r="E4" s="31"/>
      <c r="F4" s="31"/>
    </row>
    <row r="5" spans="1:10" x14ac:dyDescent="0.2">
      <c r="A5" s="31" t="s">
        <v>4</v>
      </c>
      <c r="B5" s="31"/>
      <c r="C5" s="31" t="s">
        <v>5</v>
      </c>
      <c r="D5" s="31"/>
      <c r="E5" s="31"/>
      <c r="F5" s="31"/>
    </row>
    <row r="6" spans="1:10" x14ac:dyDescent="0.2">
      <c r="A6" s="18" t="s">
        <v>74</v>
      </c>
      <c r="B6" s="18" t="s">
        <v>12</v>
      </c>
      <c r="C6" s="19" t="s">
        <v>19</v>
      </c>
      <c r="D6" s="20" t="s">
        <v>75</v>
      </c>
      <c r="E6" s="20" t="s">
        <v>76</v>
      </c>
      <c r="F6" s="21" t="s">
        <v>19</v>
      </c>
      <c r="G6" s="19" t="s">
        <v>19</v>
      </c>
      <c r="H6" s="20" t="s">
        <v>75</v>
      </c>
      <c r="I6" s="20" t="s">
        <v>77</v>
      </c>
      <c r="J6" s="21" t="s">
        <v>19</v>
      </c>
    </row>
    <row r="7" spans="1:10" x14ac:dyDescent="0.2">
      <c r="A7" s="22" t="s">
        <v>19</v>
      </c>
      <c r="B7" s="22" t="s">
        <v>19</v>
      </c>
      <c r="C7" s="18" t="s">
        <v>78</v>
      </c>
      <c r="D7" s="18" t="s">
        <v>54</v>
      </c>
      <c r="E7" s="18" t="s">
        <v>55</v>
      </c>
      <c r="F7" s="18" t="s">
        <v>79</v>
      </c>
      <c r="G7" s="18" t="s">
        <v>78</v>
      </c>
      <c r="H7" s="18" t="s">
        <v>54</v>
      </c>
      <c r="I7" s="18" t="s">
        <v>55</v>
      </c>
      <c r="J7" s="18" t="s">
        <v>79</v>
      </c>
    </row>
    <row r="8" spans="1:10" x14ac:dyDescent="0.2">
      <c r="A8" s="23" t="s">
        <v>80</v>
      </c>
      <c r="B8" s="16">
        <v>0</v>
      </c>
      <c r="C8" s="16">
        <v>-6.6950000000000003</v>
      </c>
      <c r="D8" s="16">
        <v>6804.0069999999996</v>
      </c>
      <c r="E8" s="16">
        <v>1572.4169999999999</v>
      </c>
      <c r="F8" s="16">
        <v>123.176</v>
      </c>
      <c r="G8" s="16">
        <v>6.6870000000000003</v>
      </c>
      <c r="H8" s="16">
        <v>6795.2240000000002</v>
      </c>
      <c r="I8" s="16">
        <v>1582.5139999999999</v>
      </c>
      <c r="J8" s="16">
        <v>123.16800000000001</v>
      </c>
    </row>
    <row r="9" spans="1:10" x14ac:dyDescent="0.2">
      <c r="A9" s="23" t="s">
        <v>81</v>
      </c>
      <c r="B9" s="16">
        <v>20</v>
      </c>
      <c r="C9" s="16">
        <v>-6.532</v>
      </c>
      <c r="D9" s="16">
        <v>6788.8109999999997</v>
      </c>
      <c r="E9" s="16">
        <v>1559.413</v>
      </c>
      <c r="F9" s="16">
        <v>123.16200000000001</v>
      </c>
      <c r="G9" s="16">
        <v>6.5250000000000004</v>
      </c>
      <c r="H9" s="16">
        <v>6780.241</v>
      </c>
      <c r="I9" s="16">
        <v>1569.2650000000001</v>
      </c>
      <c r="J9" s="16">
        <v>123.154</v>
      </c>
    </row>
    <row r="10" spans="1:10" x14ac:dyDescent="0.2">
      <c r="A10" s="23" t="s">
        <v>82</v>
      </c>
      <c r="B10" s="16">
        <v>40</v>
      </c>
      <c r="C10" s="16">
        <v>-6.3689999999999998</v>
      </c>
      <c r="D10" s="16">
        <v>6773.6149999999998</v>
      </c>
      <c r="E10" s="16">
        <v>1546.41</v>
      </c>
      <c r="F10" s="16">
        <v>123.14700000000001</v>
      </c>
      <c r="G10" s="16">
        <v>6.3620000000000001</v>
      </c>
      <c r="H10" s="16">
        <v>6765.2579999999998</v>
      </c>
      <c r="I10" s="16">
        <v>1556.0150000000001</v>
      </c>
      <c r="J10" s="16">
        <v>123.14</v>
      </c>
    </row>
    <row r="11" spans="1:10" x14ac:dyDescent="0.2">
      <c r="A11" s="23" t="s">
        <v>83</v>
      </c>
      <c r="B11" s="16">
        <v>60</v>
      </c>
      <c r="C11" s="16">
        <v>-6.2069999999999999</v>
      </c>
      <c r="D11" s="16">
        <v>6758.4179999999997</v>
      </c>
      <c r="E11" s="16">
        <v>1533.4059999999999</v>
      </c>
      <c r="F11" s="16">
        <v>123.133</v>
      </c>
      <c r="G11" s="16">
        <v>6.2</v>
      </c>
      <c r="H11" s="16">
        <v>6750.2759999999998</v>
      </c>
      <c r="I11" s="16">
        <v>1542.7660000000001</v>
      </c>
      <c r="J11" s="16">
        <v>123.126</v>
      </c>
    </row>
    <row r="12" spans="1:10" x14ac:dyDescent="0.2">
      <c r="A12" s="23" t="s">
        <v>84</v>
      </c>
      <c r="B12" s="16">
        <v>80</v>
      </c>
      <c r="C12" s="16">
        <v>-6.0439999999999996</v>
      </c>
      <c r="D12" s="16">
        <v>6743.2219999999998</v>
      </c>
      <c r="E12" s="16">
        <v>1520.402</v>
      </c>
      <c r="F12" s="16">
        <v>123.119</v>
      </c>
      <c r="G12" s="16">
        <v>6.0369999999999999</v>
      </c>
      <c r="H12" s="16">
        <v>6735.2929999999997</v>
      </c>
      <c r="I12" s="16">
        <v>1529.5170000000001</v>
      </c>
      <c r="J12" s="16">
        <v>123.11199999999999</v>
      </c>
    </row>
    <row r="13" spans="1:10" x14ac:dyDescent="0.2">
      <c r="A13" s="23" t="s">
        <v>85</v>
      </c>
      <c r="B13" s="16">
        <v>100</v>
      </c>
      <c r="C13" s="16">
        <v>-5.8810000000000002</v>
      </c>
      <c r="D13" s="16">
        <v>6728.0259999999998</v>
      </c>
      <c r="E13" s="16">
        <v>1507.3979999999999</v>
      </c>
      <c r="F13" s="16">
        <v>123.105</v>
      </c>
      <c r="G13" s="16">
        <v>5.8739999999999997</v>
      </c>
      <c r="H13" s="16">
        <v>6720.31</v>
      </c>
      <c r="I13" s="16">
        <v>1516.2670000000001</v>
      </c>
      <c r="J13" s="16">
        <v>123.098</v>
      </c>
    </row>
    <row r="14" spans="1:10" x14ac:dyDescent="0.2">
      <c r="A14" s="23" t="s">
        <v>86</v>
      </c>
      <c r="B14" s="16">
        <v>120</v>
      </c>
      <c r="C14" s="16">
        <v>-5.718</v>
      </c>
      <c r="D14" s="16">
        <v>6712.8289999999997</v>
      </c>
      <c r="E14" s="16">
        <v>1494.394</v>
      </c>
      <c r="F14" s="16">
        <v>123.09</v>
      </c>
      <c r="G14" s="16">
        <v>5.7119999999999997</v>
      </c>
      <c r="H14" s="16">
        <v>6705.3270000000002</v>
      </c>
      <c r="I14" s="16">
        <v>1503.018</v>
      </c>
      <c r="J14" s="16">
        <v>123.084</v>
      </c>
    </row>
    <row r="15" spans="1:10" x14ac:dyDescent="0.2">
      <c r="A15" s="23" t="s">
        <v>87</v>
      </c>
      <c r="B15" s="16">
        <v>140</v>
      </c>
      <c r="C15" s="16">
        <v>-5.556</v>
      </c>
      <c r="D15" s="16">
        <v>6697.6329999999998</v>
      </c>
      <c r="E15" s="16">
        <v>1481.3910000000001</v>
      </c>
      <c r="F15" s="16">
        <v>123.07599999999999</v>
      </c>
      <c r="G15" s="16">
        <v>5.5490000000000004</v>
      </c>
      <c r="H15" s="16">
        <v>6690.3450000000003</v>
      </c>
      <c r="I15" s="16">
        <v>1489.769</v>
      </c>
      <c r="J15" s="16">
        <v>123.07</v>
      </c>
    </row>
    <row r="16" spans="1:10" x14ac:dyDescent="0.2">
      <c r="A16" s="23" t="s">
        <v>88</v>
      </c>
      <c r="B16" s="16">
        <v>160</v>
      </c>
      <c r="C16" s="16">
        <v>-5.3929999999999998</v>
      </c>
      <c r="D16" s="16">
        <v>6682.4369999999999</v>
      </c>
      <c r="E16" s="16">
        <v>1468.3869999999999</v>
      </c>
      <c r="F16" s="16">
        <v>123.062</v>
      </c>
      <c r="G16" s="16">
        <v>5.3869999999999996</v>
      </c>
      <c r="H16" s="16">
        <v>6675.3620000000001</v>
      </c>
      <c r="I16" s="16">
        <v>1476.519</v>
      </c>
      <c r="J16" s="16">
        <v>123.056</v>
      </c>
    </row>
    <row r="17" spans="1:10" x14ac:dyDescent="0.2">
      <c r="A17" s="23" t="s">
        <v>89</v>
      </c>
      <c r="B17" s="16">
        <v>180</v>
      </c>
      <c r="C17" s="16">
        <v>-5.23</v>
      </c>
      <c r="D17" s="16">
        <v>6667.24</v>
      </c>
      <c r="E17" s="16">
        <v>1455.383</v>
      </c>
      <c r="F17" s="16">
        <v>123.047</v>
      </c>
      <c r="G17" s="16">
        <v>5.2240000000000002</v>
      </c>
      <c r="H17" s="16">
        <v>6660.3789999999999</v>
      </c>
      <c r="I17" s="16">
        <v>1463.27</v>
      </c>
      <c r="J17" s="16">
        <v>123.041</v>
      </c>
    </row>
    <row r="18" spans="1:10" x14ac:dyDescent="0.2">
      <c r="A18" s="23" t="s">
        <v>90</v>
      </c>
      <c r="B18" s="16">
        <v>200</v>
      </c>
      <c r="C18" s="16">
        <v>-5.0670000000000002</v>
      </c>
      <c r="D18" s="16">
        <v>6652.0439999999999</v>
      </c>
      <c r="E18" s="16">
        <v>1442.3789999999999</v>
      </c>
      <c r="F18" s="16">
        <v>123.033</v>
      </c>
      <c r="G18" s="16">
        <v>5.0609999999999999</v>
      </c>
      <c r="H18" s="16">
        <v>6645.3969999999999</v>
      </c>
      <c r="I18" s="16">
        <v>1450.021</v>
      </c>
      <c r="J18" s="16">
        <v>123.027</v>
      </c>
    </row>
    <row r="19" spans="1:10" x14ac:dyDescent="0.2">
      <c r="A19" s="23" t="s">
        <v>91</v>
      </c>
      <c r="B19" s="16">
        <v>220</v>
      </c>
      <c r="C19" s="16">
        <v>-4.9039999999999999</v>
      </c>
      <c r="D19" s="16">
        <v>6636.848</v>
      </c>
      <c r="E19" s="16">
        <v>1429.375</v>
      </c>
      <c r="F19" s="16">
        <v>123.01900000000001</v>
      </c>
      <c r="G19" s="16">
        <v>4.899</v>
      </c>
      <c r="H19" s="16">
        <v>6630.4139999999998</v>
      </c>
      <c r="I19" s="16">
        <v>1436.7719999999999</v>
      </c>
      <c r="J19" s="16">
        <v>123.01300000000001</v>
      </c>
    </row>
    <row r="20" spans="1:10" x14ac:dyDescent="0.2">
      <c r="A20" s="23" t="s">
        <v>92</v>
      </c>
      <c r="B20" s="16">
        <v>240</v>
      </c>
      <c r="C20" s="16">
        <v>-4.742</v>
      </c>
      <c r="D20" s="16">
        <v>6621.652</v>
      </c>
      <c r="E20" s="16">
        <v>1416.3720000000001</v>
      </c>
      <c r="F20" s="16">
        <v>123.005</v>
      </c>
      <c r="G20" s="16">
        <v>4.7359999999999998</v>
      </c>
      <c r="H20" s="16">
        <v>6615.4309999999996</v>
      </c>
      <c r="I20" s="16">
        <v>1423.5219999999999</v>
      </c>
      <c r="J20" s="16">
        <v>122.999</v>
      </c>
    </row>
    <row r="21" spans="1:10" x14ac:dyDescent="0.2">
      <c r="A21" s="23" t="s">
        <v>93</v>
      </c>
      <c r="B21" s="16">
        <v>260</v>
      </c>
      <c r="C21" s="16">
        <v>-4.5789999999999997</v>
      </c>
      <c r="D21" s="16">
        <v>6606.4549999999999</v>
      </c>
      <c r="E21" s="16">
        <v>1403.3679999999999</v>
      </c>
      <c r="F21" s="16">
        <v>122.99</v>
      </c>
      <c r="G21" s="16">
        <v>4.5730000000000004</v>
      </c>
      <c r="H21" s="16">
        <v>6600.4480000000003</v>
      </c>
      <c r="I21" s="16">
        <v>1410.2729999999999</v>
      </c>
      <c r="J21" s="16">
        <v>122.985</v>
      </c>
    </row>
    <row r="22" spans="1:10" x14ac:dyDescent="0.2">
      <c r="A22" s="23" t="s">
        <v>94</v>
      </c>
      <c r="B22" s="16">
        <v>280</v>
      </c>
      <c r="C22" s="16">
        <v>-4.4160000000000004</v>
      </c>
      <c r="D22" s="16">
        <v>6591.259</v>
      </c>
      <c r="E22" s="16">
        <v>1390.364</v>
      </c>
      <c r="F22" s="16">
        <v>122.976</v>
      </c>
      <c r="G22" s="16">
        <v>4.4109999999999996</v>
      </c>
      <c r="H22" s="16">
        <v>6585.4660000000003</v>
      </c>
      <c r="I22" s="16">
        <v>1397.0239999999999</v>
      </c>
      <c r="J22" s="16">
        <v>122.971</v>
      </c>
    </row>
    <row r="23" spans="1:10" x14ac:dyDescent="0.2">
      <c r="A23" s="23" t="s">
        <v>95</v>
      </c>
      <c r="B23" s="16">
        <v>300</v>
      </c>
      <c r="C23" s="16">
        <v>-4.2530000000000001</v>
      </c>
      <c r="D23" s="16">
        <v>6576.0630000000001</v>
      </c>
      <c r="E23" s="16">
        <v>1377.36</v>
      </c>
      <c r="F23" s="16">
        <v>122.962</v>
      </c>
      <c r="G23" s="16">
        <v>4.2480000000000002</v>
      </c>
      <c r="H23" s="16">
        <v>6570.4830000000002</v>
      </c>
      <c r="I23" s="16">
        <v>1383.7739999999999</v>
      </c>
      <c r="J23" s="16">
        <v>122.95699999999999</v>
      </c>
    </row>
    <row r="24" spans="1:10" x14ac:dyDescent="0.2">
      <c r="A24" s="23" t="s">
        <v>96</v>
      </c>
      <c r="B24" s="16">
        <v>320</v>
      </c>
      <c r="C24" s="16">
        <v>-4.21</v>
      </c>
      <c r="D24" s="16">
        <v>6560.9449999999997</v>
      </c>
      <c r="E24" s="16">
        <v>1364.2660000000001</v>
      </c>
      <c r="F24" s="16">
        <v>122.94799999999999</v>
      </c>
      <c r="G24" s="16">
        <v>4.2140000000000004</v>
      </c>
      <c r="H24" s="16">
        <v>6555.4160000000002</v>
      </c>
      <c r="I24" s="16">
        <v>1370.6220000000001</v>
      </c>
      <c r="J24" s="16">
        <v>122.943</v>
      </c>
    </row>
    <row r="25" spans="1:10" x14ac:dyDescent="0.2">
      <c r="A25" s="23" t="s">
        <v>97</v>
      </c>
      <c r="B25" s="16">
        <v>340</v>
      </c>
      <c r="C25" s="16">
        <v>-4.3710000000000004</v>
      </c>
      <c r="D25" s="16">
        <v>6545.9610000000002</v>
      </c>
      <c r="E25" s="16">
        <v>1351.018</v>
      </c>
      <c r="F25" s="16">
        <v>122.93300000000001</v>
      </c>
      <c r="G25" s="16">
        <v>4.3760000000000003</v>
      </c>
      <c r="H25" s="16">
        <v>6540.22</v>
      </c>
      <c r="I25" s="16">
        <v>1357.617</v>
      </c>
      <c r="J25" s="16">
        <v>122.928</v>
      </c>
    </row>
    <row r="26" spans="1:10" x14ac:dyDescent="0.2">
      <c r="A26" s="23" t="s">
        <v>98</v>
      </c>
      <c r="B26" s="16">
        <v>360</v>
      </c>
      <c r="C26" s="16">
        <v>-4.524</v>
      </c>
      <c r="D26" s="16">
        <v>6530.9719999999998</v>
      </c>
      <c r="E26" s="16">
        <v>1337.7760000000001</v>
      </c>
      <c r="F26" s="16">
        <v>122.919</v>
      </c>
      <c r="G26" s="16">
        <v>4.5289999999999999</v>
      </c>
      <c r="H26" s="16">
        <v>6525.03</v>
      </c>
      <c r="I26" s="16">
        <v>1344.606</v>
      </c>
      <c r="J26" s="16">
        <v>122.914</v>
      </c>
    </row>
    <row r="27" spans="1:10" x14ac:dyDescent="0.2">
      <c r="A27" s="23" t="s">
        <v>99</v>
      </c>
      <c r="B27" s="16">
        <v>380</v>
      </c>
      <c r="C27" s="16">
        <v>-4.67</v>
      </c>
      <c r="D27" s="16">
        <v>6515.9780000000001</v>
      </c>
      <c r="E27" s="16">
        <v>1324.539</v>
      </c>
      <c r="F27" s="16">
        <v>122.905</v>
      </c>
      <c r="G27" s="16">
        <v>4.6749999999999998</v>
      </c>
      <c r="H27" s="16">
        <v>6509.8450000000003</v>
      </c>
      <c r="I27" s="16">
        <v>1331.59</v>
      </c>
      <c r="J27" s="16">
        <v>122.9</v>
      </c>
    </row>
    <row r="28" spans="1:10" x14ac:dyDescent="0.2">
      <c r="A28" s="23" t="s">
        <v>100</v>
      </c>
      <c r="B28" s="16">
        <v>400</v>
      </c>
      <c r="C28" s="16">
        <v>-4.8070000000000004</v>
      </c>
      <c r="D28" s="16">
        <v>6500.9790000000003</v>
      </c>
      <c r="E28" s="16">
        <v>1311.309</v>
      </c>
      <c r="F28" s="16">
        <v>122.89100000000001</v>
      </c>
      <c r="G28" s="16">
        <v>4.8129999999999997</v>
      </c>
      <c r="H28" s="16">
        <v>6494.665</v>
      </c>
      <c r="I28" s="16">
        <v>1318.567</v>
      </c>
      <c r="J28" s="16">
        <v>122.886</v>
      </c>
    </row>
    <row r="29" spans="1:10" x14ac:dyDescent="0.2">
      <c r="A29" s="23" t="s">
        <v>101</v>
      </c>
      <c r="B29" s="16">
        <v>420</v>
      </c>
      <c r="C29" s="16">
        <v>-4.9370000000000003</v>
      </c>
      <c r="D29" s="16">
        <v>6485.9750000000004</v>
      </c>
      <c r="E29" s="16">
        <v>1298.0840000000001</v>
      </c>
      <c r="F29" s="16">
        <v>122.877</v>
      </c>
      <c r="G29" s="16">
        <v>4.9429999999999996</v>
      </c>
      <c r="H29" s="16">
        <v>6479.49</v>
      </c>
      <c r="I29" s="16">
        <v>1305.538</v>
      </c>
      <c r="J29" s="16">
        <v>122.871</v>
      </c>
    </row>
    <row r="30" spans="1:10" x14ac:dyDescent="0.2">
      <c r="A30" s="23" t="s">
        <v>102</v>
      </c>
      <c r="B30" s="16">
        <v>440</v>
      </c>
      <c r="C30" s="16">
        <v>-5.0590000000000002</v>
      </c>
      <c r="D30" s="16">
        <v>6470.9650000000001</v>
      </c>
      <c r="E30" s="16">
        <v>1284.866</v>
      </c>
      <c r="F30" s="16">
        <v>122.863</v>
      </c>
      <c r="G30" s="16">
        <v>5.0640000000000001</v>
      </c>
      <c r="H30" s="16">
        <v>6464.3209999999999</v>
      </c>
      <c r="I30" s="16">
        <v>1292.5039999999999</v>
      </c>
      <c r="J30" s="16">
        <v>122.857</v>
      </c>
    </row>
    <row r="31" spans="1:10" x14ac:dyDescent="0.2">
      <c r="A31" s="23" t="s">
        <v>103</v>
      </c>
      <c r="B31" s="16">
        <v>460</v>
      </c>
      <c r="C31" s="16">
        <v>-5.1639999999999997</v>
      </c>
      <c r="D31" s="16">
        <v>6455.9449999999997</v>
      </c>
      <c r="E31" s="16">
        <v>1271.6600000000001</v>
      </c>
      <c r="F31" s="16">
        <v>122.857</v>
      </c>
      <c r="G31" s="16">
        <v>5.1769999999999996</v>
      </c>
      <c r="H31" s="16">
        <v>6449.1580000000004</v>
      </c>
      <c r="I31" s="16">
        <v>1279.462</v>
      </c>
      <c r="J31" s="16">
        <v>122.84399999999999</v>
      </c>
    </row>
    <row r="32" spans="1:10" x14ac:dyDescent="0.2">
      <c r="A32" s="23" t="s">
        <v>104</v>
      </c>
      <c r="B32" s="16">
        <v>480</v>
      </c>
      <c r="C32" s="16">
        <v>-5.2569999999999997</v>
      </c>
      <c r="D32" s="16">
        <v>6440.9170000000004</v>
      </c>
      <c r="E32" s="16">
        <v>1258.463</v>
      </c>
      <c r="F32" s="16">
        <v>122.855</v>
      </c>
      <c r="G32" s="16">
        <v>5.2709999999999999</v>
      </c>
      <c r="H32" s="16">
        <v>6434.0069999999996</v>
      </c>
      <c r="I32" s="16">
        <v>1266.4059999999999</v>
      </c>
      <c r="J32" s="16">
        <v>122.842</v>
      </c>
    </row>
    <row r="33" spans="1:10" x14ac:dyDescent="0.2">
      <c r="A33" s="23" t="s">
        <v>105</v>
      </c>
      <c r="B33" s="16">
        <v>500</v>
      </c>
      <c r="C33" s="16">
        <v>-5.343</v>
      </c>
      <c r="D33" s="16">
        <v>6425.8829999999998</v>
      </c>
      <c r="E33" s="16">
        <v>1245.2719999999999</v>
      </c>
      <c r="F33" s="16">
        <v>122.85299999999999</v>
      </c>
      <c r="G33" s="16">
        <v>5.3570000000000002</v>
      </c>
      <c r="H33" s="16">
        <v>6418.8609999999999</v>
      </c>
      <c r="I33" s="16">
        <v>1253.3440000000001</v>
      </c>
      <c r="J33" s="16">
        <v>122.839</v>
      </c>
    </row>
    <row r="34" spans="1:10" x14ac:dyDescent="0.2">
      <c r="A34" s="23" t="s">
        <v>106</v>
      </c>
      <c r="B34" s="16">
        <v>520</v>
      </c>
      <c r="C34" s="16">
        <v>-5.42</v>
      </c>
      <c r="D34" s="16">
        <v>6410.8450000000003</v>
      </c>
      <c r="E34" s="16">
        <v>1232.087</v>
      </c>
      <c r="F34" s="16">
        <v>122.851</v>
      </c>
      <c r="G34" s="16">
        <v>5.4340000000000002</v>
      </c>
      <c r="H34" s="16">
        <v>6403.7209999999995</v>
      </c>
      <c r="I34" s="16">
        <v>1240.2760000000001</v>
      </c>
      <c r="J34" s="16">
        <v>122.837</v>
      </c>
    </row>
    <row r="35" spans="1:10" x14ac:dyDescent="0.2">
      <c r="A35" s="23" t="s">
        <v>107</v>
      </c>
      <c r="B35" s="16">
        <v>540</v>
      </c>
      <c r="C35" s="16">
        <v>-5.49</v>
      </c>
      <c r="D35" s="16">
        <v>6395.8010000000004</v>
      </c>
      <c r="E35" s="16">
        <v>1218.9079999999999</v>
      </c>
      <c r="F35" s="16">
        <v>122.849</v>
      </c>
      <c r="G35" s="16">
        <v>5.5039999999999996</v>
      </c>
      <c r="H35" s="16">
        <v>6388.585</v>
      </c>
      <c r="I35" s="16">
        <v>1227.202</v>
      </c>
      <c r="J35" s="16">
        <v>122.83499999999999</v>
      </c>
    </row>
    <row r="36" spans="1:10" x14ac:dyDescent="0.2">
      <c r="A36" s="23" t="s">
        <v>108</v>
      </c>
      <c r="B36" s="16">
        <v>560</v>
      </c>
      <c r="C36" s="16">
        <v>-5.5510000000000002</v>
      </c>
      <c r="D36" s="16">
        <v>6380.7520000000004</v>
      </c>
      <c r="E36" s="16">
        <v>1205.7349999999999</v>
      </c>
      <c r="F36" s="16">
        <v>122.84699999999999</v>
      </c>
      <c r="G36" s="16">
        <v>5.5659999999999998</v>
      </c>
      <c r="H36" s="16">
        <v>6373.4549999999999</v>
      </c>
      <c r="I36" s="16">
        <v>1214.1220000000001</v>
      </c>
      <c r="J36" s="16">
        <v>122.833</v>
      </c>
    </row>
    <row r="37" spans="1:10" x14ac:dyDescent="0.2">
      <c r="A37" s="23" t="s">
        <v>109</v>
      </c>
      <c r="B37" s="16">
        <v>580</v>
      </c>
      <c r="C37" s="16">
        <v>-5.6050000000000004</v>
      </c>
      <c r="D37" s="16">
        <v>6365.6970000000001</v>
      </c>
      <c r="E37" s="16">
        <v>1192.568</v>
      </c>
      <c r="F37" s="16">
        <v>122.845</v>
      </c>
      <c r="G37" s="16">
        <v>5.6189999999999998</v>
      </c>
      <c r="H37" s="16">
        <v>6358.3310000000001</v>
      </c>
      <c r="I37" s="16">
        <v>1201.0360000000001</v>
      </c>
      <c r="J37" s="16">
        <v>122.831</v>
      </c>
    </row>
    <row r="38" spans="1:10" x14ac:dyDescent="0.2">
      <c r="A38" s="23" t="s">
        <v>110</v>
      </c>
      <c r="B38" s="16">
        <v>600</v>
      </c>
      <c r="C38" s="16">
        <v>-5.65</v>
      </c>
      <c r="D38" s="16">
        <v>6350.6379999999999</v>
      </c>
      <c r="E38" s="16">
        <v>1179.4069999999999</v>
      </c>
      <c r="F38" s="16">
        <v>122.843</v>
      </c>
      <c r="G38" s="16">
        <v>5.665</v>
      </c>
      <c r="H38" s="16">
        <v>6343.2110000000002</v>
      </c>
      <c r="I38" s="16">
        <v>1187.943</v>
      </c>
      <c r="J38" s="16">
        <v>122.828</v>
      </c>
    </row>
    <row r="39" spans="1:10" x14ac:dyDescent="0.2">
      <c r="A39" s="23" t="s">
        <v>111</v>
      </c>
      <c r="B39" s="16">
        <v>620</v>
      </c>
      <c r="C39" s="16">
        <v>-5.6879999999999997</v>
      </c>
      <c r="D39" s="16">
        <v>6335.5730000000003</v>
      </c>
      <c r="E39" s="16">
        <v>1166.252</v>
      </c>
      <c r="F39" s="16">
        <v>122.84099999999999</v>
      </c>
      <c r="G39" s="16">
        <v>5.702</v>
      </c>
      <c r="H39" s="16">
        <v>6328.0969999999998</v>
      </c>
      <c r="I39" s="16">
        <v>1174.845</v>
      </c>
      <c r="J39" s="16">
        <v>122.82599999999999</v>
      </c>
    </row>
    <row r="40" spans="1:10" x14ac:dyDescent="0.2">
      <c r="A40" s="23" t="s">
        <v>112</v>
      </c>
      <c r="B40" s="16">
        <v>640</v>
      </c>
      <c r="C40" s="16">
        <v>-5.7169999999999996</v>
      </c>
      <c r="D40" s="16">
        <v>6320.5029999999997</v>
      </c>
      <c r="E40" s="16">
        <v>1153.1030000000001</v>
      </c>
      <c r="F40" s="16">
        <v>122.839</v>
      </c>
      <c r="G40" s="16">
        <v>5.7320000000000002</v>
      </c>
      <c r="H40" s="16">
        <v>6312.9880000000003</v>
      </c>
      <c r="I40" s="16">
        <v>1161.741</v>
      </c>
      <c r="J40" s="16">
        <v>122.824</v>
      </c>
    </row>
    <row r="41" spans="1:10" x14ac:dyDescent="0.2">
      <c r="A41" s="23" t="s">
        <v>113</v>
      </c>
      <c r="B41" s="16">
        <v>660</v>
      </c>
      <c r="C41" s="16">
        <v>-5.7389999999999999</v>
      </c>
      <c r="D41" s="16">
        <v>6305.4279999999999</v>
      </c>
      <c r="E41" s="16">
        <v>1139.96</v>
      </c>
      <c r="F41" s="16">
        <v>122.837</v>
      </c>
      <c r="G41" s="16">
        <v>5.7539999999999996</v>
      </c>
      <c r="H41" s="16">
        <v>6297.8850000000002</v>
      </c>
      <c r="I41" s="16">
        <v>1148.6310000000001</v>
      </c>
      <c r="J41" s="16">
        <v>122.822</v>
      </c>
    </row>
    <row r="42" spans="1:10" x14ac:dyDescent="0.2">
      <c r="A42" s="23" t="s">
        <v>114</v>
      </c>
      <c r="B42" s="16">
        <v>680</v>
      </c>
      <c r="C42" s="16">
        <v>-5.7519999999999998</v>
      </c>
      <c r="D42" s="16">
        <v>6290.3469999999998</v>
      </c>
      <c r="E42" s="16">
        <v>1126.8230000000001</v>
      </c>
      <c r="F42" s="16">
        <v>122.83499999999999</v>
      </c>
      <c r="G42" s="16">
        <v>5.7670000000000003</v>
      </c>
      <c r="H42" s="16">
        <v>6282.7860000000001</v>
      </c>
      <c r="I42" s="16">
        <v>1135.5139999999999</v>
      </c>
      <c r="J42" s="16">
        <v>122.82</v>
      </c>
    </row>
    <row r="43" spans="1:10" x14ac:dyDescent="0.2">
      <c r="A43" s="23" t="s">
        <v>115</v>
      </c>
      <c r="B43" s="16">
        <v>700</v>
      </c>
      <c r="C43" s="16">
        <v>-5.758</v>
      </c>
      <c r="D43" s="16">
        <v>6275.2610000000004</v>
      </c>
      <c r="E43" s="16">
        <v>1113.692</v>
      </c>
      <c r="F43" s="16">
        <v>122.833</v>
      </c>
      <c r="G43" s="16">
        <v>5.7729999999999997</v>
      </c>
      <c r="H43" s="16">
        <v>6267.6930000000002</v>
      </c>
      <c r="I43" s="16">
        <v>1122.3920000000001</v>
      </c>
      <c r="J43" s="16">
        <v>122.818</v>
      </c>
    </row>
    <row r="44" spans="1:10" x14ac:dyDescent="0.2">
      <c r="A44" s="23" t="s">
        <v>116</v>
      </c>
      <c r="B44" s="16">
        <v>720</v>
      </c>
      <c r="C44" s="16">
        <v>-5.7560000000000002</v>
      </c>
      <c r="D44" s="16">
        <v>6260.17</v>
      </c>
      <c r="E44" s="16">
        <v>1100.567</v>
      </c>
      <c r="F44" s="16">
        <v>122.831</v>
      </c>
      <c r="G44" s="16">
        <v>5.77</v>
      </c>
      <c r="H44" s="16">
        <v>6252.6049999999996</v>
      </c>
      <c r="I44" s="16">
        <v>1109.2629999999999</v>
      </c>
      <c r="J44" s="16">
        <v>122.816</v>
      </c>
    </row>
    <row r="45" spans="1:10" x14ac:dyDescent="0.2">
      <c r="A45" s="23" t="s">
        <v>117</v>
      </c>
      <c r="B45" s="16">
        <v>740</v>
      </c>
      <c r="C45" s="16">
        <v>-5.7450000000000001</v>
      </c>
      <c r="D45" s="16">
        <v>6245.0739999999996</v>
      </c>
      <c r="E45" s="16">
        <v>1087.4490000000001</v>
      </c>
      <c r="F45" s="16">
        <v>122.828</v>
      </c>
      <c r="G45" s="16">
        <v>5.76</v>
      </c>
      <c r="H45" s="16">
        <v>6237.5230000000001</v>
      </c>
      <c r="I45" s="16">
        <v>1096.1289999999999</v>
      </c>
      <c r="J45" s="16">
        <v>122.81399999999999</v>
      </c>
    </row>
    <row r="46" spans="1:10" x14ac:dyDescent="0.2">
      <c r="A46" s="23" t="s">
        <v>118</v>
      </c>
      <c r="B46" s="16">
        <v>760</v>
      </c>
      <c r="C46" s="16">
        <v>-5.7270000000000003</v>
      </c>
      <c r="D46" s="16">
        <v>6229.9719999999998</v>
      </c>
      <c r="E46" s="16">
        <v>1074.336</v>
      </c>
      <c r="F46" s="16">
        <v>122.82599999999999</v>
      </c>
      <c r="G46" s="16">
        <v>5.7409999999999997</v>
      </c>
      <c r="H46" s="16">
        <v>6222.4449999999997</v>
      </c>
      <c r="I46" s="16">
        <v>1082.9880000000001</v>
      </c>
      <c r="J46" s="16">
        <v>122.812</v>
      </c>
    </row>
    <row r="47" spans="1:10" x14ac:dyDescent="0.2">
      <c r="A47" s="23" t="s">
        <v>119</v>
      </c>
      <c r="B47" s="16">
        <v>780</v>
      </c>
      <c r="C47" s="16">
        <v>-5.7</v>
      </c>
      <c r="D47" s="16">
        <v>6214.866</v>
      </c>
      <c r="E47" s="16">
        <v>1061.229</v>
      </c>
      <c r="F47" s="16">
        <v>122.824</v>
      </c>
      <c r="G47" s="16">
        <v>5.7149999999999999</v>
      </c>
      <c r="H47" s="16">
        <v>6207.3729999999996</v>
      </c>
      <c r="I47" s="16">
        <v>1069.8420000000001</v>
      </c>
      <c r="J47" s="16">
        <v>122.81</v>
      </c>
    </row>
    <row r="48" spans="1:10" x14ac:dyDescent="0.2">
      <c r="A48" s="23" t="s">
        <v>120</v>
      </c>
      <c r="B48" s="16">
        <v>800</v>
      </c>
      <c r="C48" s="16">
        <v>-5.6660000000000004</v>
      </c>
      <c r="D48" s="16">
        <v>6199.7539999999999</v>
      </c>
      <c r="E48" s="16">
        <v>1048.1279999999999</v>
      </c>
      <c r="F48" s="16">
        <v>122.822</v>
      </c>
      <c r="G48" s="16">
        <v>5.681</v>
      </c>
      <c r="H48" s="16">
        <v>6192.3069999999998</v>
      </c>
      <c r="I48" s="16">
        <v>1056.6890000000001</v>
      </c>
      <c r="J48" s="16">
        <v>122.80800000000001</v>
      </c>
    </row>
    <row r="49" spans="1:10" x14ac:dyDescent="0.2">
      <c r="A49" s="23" t="s">
        <v>121</v>
      </c>
      <c r="B49" s="16">
        <v>801.73599999999999</v>
      </c>
      <c r="C49" s="16">
        <v>-5.6630000000000003</v>
      </c>
      <c r="D49" s="16">
        <v>6198.442</v>
      </c>
      <c r="E49" s="16">
        <v>1046.992</v>
      </c>
      <c r="F49" s="16">
        <v>122.822</v>
      </c>
      <c r="G49" s="16">
        <v>5.6769999999999996</v>
      </c>
      <c r="H49" s="16">
        <v>6190.9989999999998</v>
      </c>
      <c r="I49" s="16">
        <v>1055.547</v>
      </c>
      <c r="J49" s="16">
        <v>122.807</v>
      </c>
    </row>
    <row r="50" spans="1:10" x14ac:dyDescent="0.2">
      <c r="A50" s="23" t="s">
        <v>122</v>
      </c>
      <c r="B50" s="16">
        <v>820</v>
      </c>
      <c r="C50" s="16">
        <v>-5.6239999999999997</v>
      </c>
      <c r="D50" s="16">
        <v>6184.45</v>
      </c>
      <c r="E50" s="16">
        <v>1035.0930000000001</v>
      </c>
      <c r="F50" s="16">
        <v>122.82</v>
      </c>
      <c r="G50" s="16">
        <v>5.6379999999999999</v>
      </c>
      <c r="H50" s="16">
        <v>6177.2139999999999</v>
      </c>
      <c r="I50" s="16">
        <v>1043.7239999999999</v>
      </c>
      <c r="J50" s="16">
        <v>122.80500000000001</v>
      </c>
    </row>
    <row r="51" spans="1:10" x14ac:dyDescent="0.2">
      <c r="A51" s="23" t="s">
        <v>123</v>
      </c>
      <c r="B51" s="16">
        <v>840</v>
      </c>
      <c r="C51" s="16">
        <v>-5.5739999999999998</v>
      </c>
      <c r="D51" s="16">
        <v>6168.8779999999997</v>
      </c>
      <c r="E51" s="16">
        <v>1022.366</v>
      </c>
      <c r="F51" s="16">
        <v>122.81699999999999</v>
      </c>
      <c r="G51" s="16">
        <v>5.5880000000000001</v>
      </c>
      <c r="H51" s="16">
        <v>6161.8789999999999</v>
      </c>
      <c r="I51" s="16">
        <v>1031.0619999999999</v>
      </c>
      <c r="J51" s="16">
        <v>122.803</v>
      </c>
    </row>
    <row r="52" spans="1:10" x14ac:dyDescent="0.2">
      <c r="A52" s="23" t="s">
        <v>124</v>
      </c>
      <c r="B52" s="16">
        <v>860</v>
      </c>
      <c r="C52" s="16">
        <v>-5.5170000000000003</v>
      </c>
      <c r="D52" s="16">
        <v>6153.05</v>
      </c>
      <c r="E52" s="16">
        <v>1009.9589999999999</v>
      </c>
      <c r="F52" s="16">
        <v>122.813</v>
      </c>
      <c r="G52" s="16">
        <v>5.5309999999999997</v>
      </c>
      <c r="H52" s="16">
        <v>6146.2969999999996</v>
      </c>
      <c r="I52" s="16">
        <v>1018.703</v>
      </c>
      <c r="J52" s="16">
        <v>122.79900000000001</v>
      </c>
    </row>
    <row r="53" spans="1:10" x14ac:dyDescent="0.2">
      <c r="A53" s="23" t="s">
        <v>125</v>
      </c>
      <c r="B53" s="16">
        <v>880</v>
      </c>
      <c r="C53" s="16">
        <v>-5.4530000000000003</v>
      </c>
      <c r="D53" s="16">
        <v>6136.9740000000002</v>
      </c>
      <c r="E53" s="16">
        <v>997.87800000000004</v>
      </c>
      <c r="F53" s="16">
        <v>122.809</v>
      </c>
      <c r="G53" s="16">
        <v>5.4660000000000002</v>
      </c>
      <c r="H53" s="16">
        <v>6130.4740000000002</v>
      </c>
      <c r="I53" s="16">
        <v>1006.651</v>
      </c>
      <c r="J53" s="16">
        <v>122.79600000000001</v>
      </c>
    </row>
    <row r="54" spans="1:10" x14ac:dyDescent="0.2">
      <c r="A54" s="23" t="s">
        <v>126</v>
      </c>
      <c r="B54" s="16">
        <v>900</v>
      </c>
      <c r="C54" s="16">
        <v>-5.38</v>
      </c>
      <c r="D54" s="16">
        <v>6120.6570000000002</v>
      </c>
      <c r="E54" s="16">
        <v>986.12699999999995</v>
      </c>
      <c r="F54" s="16">
        <v>122.80500000000001</v>
      </c>
      <c r="G54" s="16">
        <v>5.3940000000000001</v>
      </c>
      <c r="H54" s="16">
        <v>6114.4170000000004</v>
      </c>
      <c r="I54" s="16">
        <v>994.91099999999994</v>
      </c>
      <c r="J54" s="16">
        <v>122.791</v>
      </c>
    </row>
    <row r="55" spans="1:10" x14ac:dyDescent="0.2">
      <c r="A55" s="23" t="s">
        <v>127</v>
      </c>
      <c r="B55" s="16">
        <v>920</v>
      </c>
      <c r="C55" s="16">
        <v>-5.3010000000000002</v>
      </c>
      <c r="D55" s="16">
        <v>6104.1049999999996</v>
      </c>
      <c r="E55" s="16">
        <v>974.71199999999999</v>
      </c>
      <c r="F55" s="16">
        <v>122.8</v>
      </c>
      <c r="G55" s="16">
        <v>5.3140000000000001</v>
      </c>
      <c r="H55" s="16">
        <v>6098.1310000000003</v>
      </c>
      <c r="I55" s="16">
        <v>983.48699999999997</v>
      </c>
      <c r="J55" s="16">
        <v>122.78700000000001</v>
      </c>
    </row>
    <row r="56" spans="1:10" x14ac:dyDescent="0.2">
      <c r="A56" s="23" t="s">
        <v>128</v>
      </c>
      <c r="B56" s="16">
        <v>940</v>
      </c>
      <c r="C56" s="16">
        <v>-5.2140000000000004</v>
      </c>
      <c r="D56" s="16">
        <v>6087.3239999999996</v>
      </c>
      <c r="E56" s="16">
        <v>963.63800000000003</v>
      </c>
      <c r="F56" s="16">
        <v>122.795</v>
      </c>
      <c r="G56" s="16">
        <v>5.2270000000000003</v>
      </c>
      <c r="H56" s="16">
        <v>6081.6229999999996</v>
      </c>
      <c r="I56" s="16">
        <v>972.38499999999999</v>
      </c>
      <c r="J56" s="16">
        <v>122.782</v>
      </c>
    </row>
    <row r="57" spans="1:10" x14ac:dyDescent="0.2">
      <c r="A57" s="23" t="s">
        <v>129</v>
      </c>
      <c r="B57" s="16">
        <v>960</v>
      </c>
      <c r="C57" s="16">
        <v>-5.1189999999999998</v>
      </c>
      <c r="D57" s="16">
        <v>6070.3239999999996</v>
      </c>
      <c r="E57" s="16">
        <v>952.90899999999999</v>
      </c>
      <c r="F57" s="16">
        <v>122.789</v>
      </c>
      <c r="G57" s="16">
        <v>5.1319999999999997</v>
      </c>
      <c r="H57" s="16">
        <v>6064.8990000000003</v>
      </c>
      <c r="I57" s="16">
        <v>961.60699999999997</v>
      </c>
      <c r="J57" s="16">
        <v>122.776</v>
      </c>
    </row>
    <row r="58" spans="1:10" x14ac:dyDescent="0.2">
      <c r="A58" s="23" t="s">
        <v>130</v>
      </c>
      <c r="B58" s="16">
        <v>980</v>
      </c>
      <c r="C58" s="16">
        <v>-5.0190000000000001</v>
      </c>
      <c r="D58" s="16">
        <v>6053.11</v>
      </c>
      <c r="E58" s="16">
        <v>942.52800000000002</v>
      </c>
      <c r="F58" s="16">
        <v>122.782</v>
      </c>
      <c r="G58" s="16">
        <v>5.0309999999999997</v>
      </c>
      <c r="H58" s="16">
        <v>6047.9639999999999</v>
      </c>
      <c r="I58" s="16">
        <v>951.15899999999999</v>
      </c>
      <c r="J58" s="16">
        <v>122.77</v>
      </c>
    </row>
    <row r="59" spans="1:10" x14ac:dyDescent="0.2">
      <c r="A59" s="23" t="s">
        <v>131</v>
      </c>
      <c r="B59" s="16">
        <v>1000</v>
      </c>
      <c r="C59" s="16">
        <v>-4.9169999999999998</v>
      </c>
      <c r="D59" s="16">
        <v>6035.6940000000004</v>
      </c>
      <c r="E59" s="16">
        <v>932.495</v>
      </c>
      <c r="F59" s="16">
        <v>122.77500000000001</v>
      </c>
      <c r="G59" s="16">
        <v>4.9290000000000003</v>
      </c>
      <c r="H59" s="16">
        <v>6030.8220000000001</v>
      </c>
      <c r="I59" s="16">
        <v>941.05100000000004</v>
      </c>
      <c r="J59" s="16">
        <v>122.76300000000001</v>
      </c>
    </row>
    <row r="60" spans="1:10" x14ac:dyDescent="0.2">
      <c r="A60" s="23" t="s">
        <v>132</v>
      </c>
      <c r="B60" s="16">
        <v>1020</v>
      </c>
      <c r="C60" s="16">
        <v>-4.8170000000000002</v>
      </c>
      <c r="D60" s="16">
        <v>6018.0829999999996</v>
      </c>
      <c r="E60" s="16">
        <v>922.81299999999999</v>
      </c>
      <c r="F60" s="16">
        <v>122.768</v>
      </c>
      <c r="G60" s="16">
        <v>4.8280000000000003</v>
      </c>
      <c r="H60" s="16">
        <v>6013.4790000000003</v>
      </c>
      <c r="I60" s="16">
        <v>931.28800000000001</v>
      </c>
      <c r="J60" s="16">
        <v>122.756</v>
      </c>
    </row>
    <row r="61" spans="1:10" x14ac:dyDescent="0.2">
      <c r="A61" s="23" t="s">
        <v>133</v>
      </c>
      <c r="B61" s="16">
        <v>1040</v>
      </c>
      <c r="C61" s="16">
        <v>-4.7160000000000002</v>
      </c>
      <c r="D61" s="16">
        <v>6000.2839999999997</v>
      </c>
      <c r="E61" s="16">
        <v>913.48500000000001</v>
      </c>
      <c r="F61" s="16">
        <v>122.76</v>
      </c>
      <c r="G61" s="16">
        <v>4.7279999999999998</v>
      </c>
      <c r="H61" s="16">
        <v>5995.942</v>
      </c>
      <c r="I61" s="16">
        <v>921.87199999999996</v>
      </c>
      <c r="J61" s="16">
        <v>122.748</v>
      </c>
    </row>
    <row r="62" spans="1:10" x14ac:dyDescent="0.2">
      <c r="A62" s="23" t="s">
        <v>134</v>
      </c>
      <c r="B62" s="16">
        <v>1060</v>
      </c>
      <c r="C62" s="16">
        <v>-4.6159999999999997</v>
      </c>
      <c r="D62" s="16">
        <v>5982.3029999999999</v>
      </c>
      <c r="E62" s="16">
        <v>904.51599999999996</v>
      </c>
      <c r="F62" s="16">
        <v>122.751</v>
      </c>
      <c r="G62" s="16">
        <v>4.6280000000000001</v>
      </c>
      <c r="H62" s="16">
        <v>5978.2190000000001</v>
      </c>
      <c r="I62" s="16">
        <v>912.80899999999997</v>
      </c>
      <c r="J62" s="16">
        <v>122.74</v>
      </c>
    </row>
    <row r="63" spans="1:10" x14ac:dyDescent="0.2">
      <c r="A63" s="23" t="s">
        <v>135</v>
      </c>
      <c r="B63" s="16">
        <v>1080</v>
      </c>
      <c r="C63" s="16">
        <v>-4.5170000000000003</v>
      </c>
      <c r="D63" s="16">
        <v>5964.1490000000003</v>
      </c>
      <c r="E63" s="16">
        <v>895.90899999999999</v>
      </c>
      <c r="F63" s="16">
        <v>122.742</v>
      </c>
      <c r="G63" s="16">
        <v>4.5279999999999996</v>
      </c>
      <c r="H63" s="16">
        <v>5960.3159999999998</v>
      </c>
      <c r="I63" s="16">
        <v>904.101</v>
      </c>
      <c r="J63" s="16">
        <v>122.73099999999999</v>
      </c>
    </row>
    <row r="64" spans="1:10" x14ac:dyDescent="0.2">
      <c r="A64" s="23" t="s">
        <v>136</v>
      </c>
      <c r="B64" s="16">
        <v>1100</v>
      </c>
      <c r="C64" s="16">
        <v>-4.4180000000000001</v>
      </c>
      <c r="D64" s="16">
        <v>5945.8289999999997</v>
      </c>
      <c r="E64" s="16">
        <v>887.66600000000005</v>
      </c>
      <c r="F64" s="16">
        <v>122.733</v>
      </c>
      <c r="G64" s="16">
        <v>4.4290000000000003</v>
      </c>
      <c r="H64" s="16">
        <v>5942.24</v>
      </c>
      <c r="I64" s="16">
        <v>895.75300000000004</v>
      </c>
      <c r="J64" s="16">
        <v>122.72199999999999</v>
      </c>
    </row>
    <row r="65" spans="1:10" x14ac:dyDescent="0.2">
      <c r="A65" s="23" t="s">
        <v>137</v>
      </c>
      <c r="B65" s="16">
        <v>1120</v>
      </c>
      <c r="C65" s="16">
        <v>-4.32</v>
      </c>
      <c r="D65" s="16">
        <v>5927.3490000000002</v>
      </c>
      <c r="E65" s="16">
        <v>879.79200000000003</v>
      </c>
      <c r="F65" s="16">
        <v>122.723</v>
      </c>
      <c r="G65" s="16">
        <v>4.33</v>
      </c>
      <c r="H65" s="16">
        <v>5923.9989999999998</v>
      </c>
      <c r="I65" s="16">
        <v>887.76800000000003</v>
      </c>
      <c r="J65" s="16">
        <v>122.71299999999999</v>
      </c>
    </row>
    <row r="66" spans="1:10" x14ac:dyDescent="0.2">
      <c r="A66" s="23" t="s">
        <v>138</v>
      </c>
      <c r="B66" s="16">
        <v>1140</v>
      </c>
      <c r="C66" s="16">
        <v>-4.2220000000000004</v>
      </c>
      <c r="D66" s="16">
        <v>5908.7179999999998</v>
      </c>
      <c r="E66" s="16">
        <v>872.29</v>
      </c>
      <c r="F66" s="16">
        <v>122.71299999999999</v>
      </c>
      <c r="G66" s="16">
        <v>4.2320000000000002</v>
      </c>
      <c r="H66" s="16">
        <v>5905.6</v>
      </c>
      <c r="I66" s="16">
        <v>880.14800000000002</v>
      </c>
      <c r="J66" s="16">
        <v>122.703</v>
      </c>
    </row>
    <row r="67" spans="1:10" x14ac:dyDescent="0.2">
      <c r="A67" s="23" t="s">
        <v>139</v>
      </c>
      <c r="B67" s="16">
        <v>1160</v>
      </c>
      <c r="C67" s="16">
        <v>-4.1749999999999998</v>
      </c>
      <c r="D67" s="16">
        <v>5889.9589999999998</v>
      </c>
      <c r="E67" s="16">
        <v>865.11500000000001</v>
      </c>
      <c r="F67" s="16">
        <v>122.702</v>
      </c>
      <c r="G67" s="16">
        <v>4.1660000000000004</v>
      </c>
      <c r="H67" s="16">
        <v>5887.0389999999998</v>
      </c>
      <c r="I67" s="16">
        <v>872.928</v>
      </c>
      <c r="J67" s="16">
        <v>122.69199999999999</v>
      </c>
    </row>
    <row r="68" spans="1:10" x14ac:dyDescent="0.2">
      <c r="A68" s="23" t="s">
        <v>140</v>
      </c>
      <c r="B68" s="16">
        <v>1180</v>
      </c>
      <c r="C68" s="16">
        <v>-4.2720000000000002</v>
      </c>
      <c r="D68" s="16">
        <v>5871.11</v>
      </c>
      <c r="E68" s="16">
        <v>858.18</v>
      </c>
      <c r="F68" s="16">
        <v>122.691</v>
      </c>
      <c r="G68" s="16">
        <v>4.2629999999999999</v>
      </c>
      <c r="H68" s="16">
        <v>5868.2820000000002</v>
      </c>
      <c r="I68" s="16">
        <v>866.23299999999995</v>
      </c>
      <c r="J68" s="16">
        <v>122.681</v>
      </c>
    </row>
    <row r="69" spans="1:10" x14ac:dyDescent="0.2">
      <c r="A69" s="23" t="s">
        <v>141</v>
      </c>
      <c r="B69" s="16">
        <v>1200</v>
      </c>
      <c r="C69" s="16">
        <v>-4.3689999999999998</v>
      </c>
      <c r="D69" s="16">
        <v>5852.1239999999998</v>
      </c>
      <c r="E69" s="16">
        <v>851.62400000000002</v>
      </c>
      <c r="F69" s="16">
        <v>122.679</v>
      </c>
      <c r="G69" s="16">
        <v>4.359</v>
      </c>
      <c r="H69" s="16">
        <v>5849.3969999999999</v>
      </c>
      <c r="I69" s="16">
        <v>859.91499999999996</v>
      </c>
      <c r="J69" s="16">
        <v>122.669</v>
      </c>
    </row>
    <row r="70" spans="1:10" x14ac:dyDescent="0.2">
      <c r="A70" s="23" t="s">
        <v>142</v>
      </c>
      <c r="B70" s="16">
        <v>1220</v>
      </c>
      <c r="C70" s="16">
        <v>-4.4649999999999999</v>
      </c>
      <c r="D70" s="16">
        <v>5833.0079999999998</v>
      </c>
      <c r="E70" s="16">
        <v>845.44899999999996</v>
      </c>
      <c r="F70" s="16">
        <v>122.667</v>
      </c>
      <c r="G70" s="16">
        <v>4.4550000000000001</v>
      </c>
      <c r="H70" s="16">
        <v>5830.3919999999998</v>
      </c>
      <c r="I70" s="16">
        <v>853.97699999999998</v>
      </c>
      <c r="J70" s="16">
        <v>122.657</v>
      </c>
    </row>
    <row r="71" spans="1:10" x14ac:dyDescent="0.2">
      <c r="A71" s="23" t="s">
        <v>143</v>
      </c>
      <c r="B71" s="16">
        <v>1240</v>
      </c>
      <c r="C71" s="16">
        <v>-4.5609999999999999</v>
      </c>
      <c r="D71" s="16">
        <v>5813.7709999999997</v>
      </c>
      <c r="E71" s="16">
        <v>839.65700000000004</v>
      </c>
      <c r="F71" s="16">
        <v>122.655</v>
      </c>
      <c r="G71" s="16">
        <v>4.55</v>
      </c>
      <c r="H71" s="16">
        <v>5811.2730000000001</v>
      </c>
      <c r="I71" s="16">
        <v>848.41899999999998</v>
      </c>
      <c r="J71" s="16">
        <v>122.64400000000001</v>
      </c>
    </row>
    <row r="72" spans="1:10" x14ac:dyDescent="0.2">
      <c r="A72" s="23" t="s">
        <v>144</v>
      </c>
      <c r="B72" s="16">
        <v>1260</v>
      </c>
      <c r="C72" s="16">
        <v>-4.6509999999999998</v>
      </c>
      <c r="D72" s="16">
        <v>5794.4189999999999</v>
      </c>
      <c r="E72" s="16">
        <v>834.25599999999997</v>
      </c>
      <c r="F72" s="16">
        <v>122.642</v>
      </c>
      <c r="G72" s="16">
        <v>4.641</v>
      </c>
      <c r="H72" s="16">
        <v>5792.0510000000004</v>
      </c>
      <c r="I72" s="16">
        <v>843.24099999999999</v>
      </c>
      <c r="J72" s="16">
        <v>122.631</v>
      </c>
    </row>
    <row r="73" spans="1:10" x14ac:dyDescent="0.2">
      <c r="A73" s="23" t="s">
        <v>145</v>
      </c>
      <c r="B73" s="16">
        <v>1280</v>
      </c>
      <c r="C73" s="16">
        <v>-4.7450000000000001</v>
      </c>
      <c r="D73" s="16">
        <v>5774.9610000000002</v>
      </c>
      <c r="E73" s="16">
        <v>829.23900000000003</v>
      </c>
      <c r="F73" s="16">
        <v>122.637</v>
      </c>
      <c r="G73" s="16">
        <v>4.734</v>
      </c>
      <c r="H73" s="16">
        <v>5772.7290000000003</v>
      </c>
      <c r="I73" s="16">
        <v>838.45100000000002</v>
      </c>
      <c r="J73" s="16">
        <v>122.627</v>
      </c>
    </row>
    <row r="74" spans="1:10" x14ac:dyDescent="0.2">
      <c r="A74" s="23" t="s">
        <v>146</v>
      </c>
      <c r="B74" s="16">
        <v>1300</v>
      </c>
      <c r="C74" s="16">
        <v>-4.84</v>
      </c>
      <c r="D74" s="16">
        <v>5755.4059999999999</v>
      </c>
      <c r="E74" s="16">
        <v>824.61</v>
      </c>
      <c r="F74" s="16">
        <v>122.64</v>
      </c>
      <c r="G74" s="16">
        <v>4.83</v>
      </c>
      <c r="H74" s="16">
        <v>5753.3180000000002</v>
      </c>
      <c r="I74" s="16">
        <v>834.05100000000004</v>
      </c>
      <c r="J74" s="16">
        <v>122.629</v>
      </c>
    </row>
    <row r="75" spans="1:10" x14ac:dyDescent="0.2">
      <c r="A75" s="23" t="s">
        <v>147</v>
      </c>
      <c r="B75" s="16">
        <v>1320</v>
      </c>
      <c r="C75" s="16">
        <v>-4.93</v>
      </c>
      <c r="D75" s="16">
        <v>5735.759</v>
      </c>
      <c r="E75" s="16">
        <v>820.37800000000004</v>
      </c>
      <c r="F75" s="16">
        <v>122.642</v>
      </c>
      <c r="G75" s="16">
        <v>4.9189999999999996</v>
      </c>
      <c r="H75" s="16">
        <v>5733.8249999999998</v>
      </c>
      <c r="I75" s="16">
        <v>830.03499999999997</v>
      </c>
      <c r="J75" s="16">
        <v>122.631</v>
      </c>
    </row>
    <row r="76" spans="1:10" x14ac:dyDescent="0.2">
      <c r="A76" s="23" t="s">
        <v>148</v>
      </c>
      <c r="B76" s="16">
        <v>1340</v>
      </c>
      <c r="C76" s="16">
        <v>-5.0140000000000002</v>
      </c>
      <c r="D76" s="16">
        <v>5716.0280000000002</v>
      </c>
      <c r="E76" s="16">
        <v>816.54600000000005</v>
      </c>
      <c r="F76" s="16">
        <v>122.64400000000001</v>
      </c>
      <c r="G76" s="16">
        <v>5.0030000000000001</v>
      </c>
      <c r="H76" s="16">
        <v>5714.2579999999998</v>
      </c>
      <c r="I76" s="16">
        <v>826.404</v>
      </c>
      <c r="J76" s="16">
        <v>122.633</v>
      </c>
    </row>
    <row r="77" spans="1:10" x14ac:dyDescent="0.2">
      <c r="A77" s="23" t="s">
        <v>149</v>
      </c>
      <c r="B77" s="16">
        <v>1360</v>
      </c>
      <c r="C77" s="16">
        <v>-5.0919999999999996</v>
      </c>
      <c r="D77" s="16">
        <v>5696.223</v>
      </c>
      <c r="E77" s="16">
        <v>813.11400000000003</v>
      </c>
      <c r="F77" s="16">
        <v>122.645</v>
      </c>
      <c r="G77" s="16">
        <v>5.0810000000000004</v>
      </c>
      <c r="H77" s="16">
        <v>5694.625</v>
      </c>
      <c r="I77" s="16">
        <v>823.16</v>
      </c>
      <c r="J77" s="16">
        <v>122.634</v>
      </c>
    </row>
    <row r="78" spans="1:10" x14ac:dyDescent="0.2">
      <c r="A78" s="23" t="s">
        <v>150</v>
      </c>
      <c r="B78" s="16">
        <v>1380</v>
      </c>
      <c r="C78" s="16">
        <v>-5.1639999999999997</v>
      </c>
      <c r="D78" s="16">
        <v>5676.35</v>
      </c>
      <c r="E78" s="16">
        <v>810.08500000000004</v>
      </c>
      <c r="F78" s="16">
        <v>122.646</v>
      </c>
      <c r="G78" s="16">
        <v>5.1529999999999996</v>
      </c>
      <c r="H78" s="16">
        <v>5674.9340000000002</v>
      </c>
      <c r="I78" s="16">
        <v>820.30399999999997</v>
      </c>
      <c r="J78" s="16">
        <v>122.63500000000001</v>
      </c>
    </row>
    <row r="79" spans="1:10" x14ac:dyDescent="0.2">
      <c r="A79" s="23" t="s">
        <v>151</v>
      </c>
      <c r="B79" s="16">
        <v>1400</v>
      </c>
      <c r="C79" s="16">
        <v>-5.2309999999999999</v>
      </c>
      <c r="D79" s="16">
        <v>5656.4179999999997</v>
      </c>
      <c r="E79" s="16">
        <v>807.45899999999995</v>
      </c>
      <c r="F79" s="16">
        <v>122.646</v>
      </c>
      <c r="G79" s="16">
        <v>5.2190000000000003</v>
      </c>
      <c r="H79" s="16">
        <v>5655.1909999999998</v>
      </c>
      <c r="I79" s="16">
        <v>817.83600000000001</v>
      </c>
      <c r="J79" s="16">
        <v>122.63500000000001</v>
      </c>
    </row>
    <row r="80" spans="1:10" x14ac:dyDescent="0.2">
      <c r="A80" s="23" t="s">
        <v>152</v>
      </c>
      <c r="B80" s="16">
        <v>1420</v>
      </c>
      <c r="C80" s="16">
        <v>-5.2910000000000004</v>
      </c>
      <c r="D80" s="16">
        <v>5636.4369999999999</v>
      </c>
      <c r="E80" s="16">
        <v>805.23699999999997</v>
      </c>
      <c r="F80" s="16">
        <v>122.646</v>
      </c>
      <c r="G80" s="16">
        <v>5.28</v>
      </c>
      <c r="H80" s="16">
        <v>5635.4059999999999</v>
      </c>
      <c r="I80" s="16">
        <v>815.75800000000004</v>
      </c>
      <c r="J80" s="16">
        <v>122.63500000000001</v>
      </c>
    </row>
    <row r="81" spans="1:10" x14ac:dyDescent="0.2">
      <c r="A81" s="23" t="s">
        <v>153</v>
      </c>
      <c r="B81" s="16">
        <v>1440</v>
      </c>
      <c r="C81" s="16">
        <v>-5.3460000000000001</v>
      </c>
      <c r="D81" s="16">
        <v>5616.4129999999996</v>
      </c>
      <c r="E81" s="16">
        <v>803.42200000000003</v>
      </c>
      <c r="F81" s="16">
        <v>122.646</v>
      </c>
      <c r="G81" s="16">
        <v>5.335</v>
      </c>
      <c r="H81" s="16">
        <v>5615.5839999999998</v>
      </c>
      <c r="I81" s="16">
        <v>814.07100000000003</v>
      </c>
      <c r="J81" s="16">
        <v>122.634</v>
      </c>
    </row>
    <row r="82" spans="1:10" x14ac:dyDescent="0.2">
      <c r="A82" s="23" t="s">
        <v>154</v>
      </c>
      <c r="B82" s="16">
        <v>1460</v>
      </c>
      <c r="C82" s="16">
        <v>-5.3959999999999999</v>
      </c>
      <c r="D82" s="16">
        <v>5596.3549999999996</v>
      </c>
      <c r="E82" s="16">
        <v>802.01300000000003</v>
      </c>
      <c r="F82" s="16">
        <v>122.645</v>
      </c>
      <c r="G82" s="16">
        <v>5.3840000000000003</v>
      </c>
      <c r="H82" s="16">
        <v>5595.7330000000002</v>
      </c>
      <c r="I82" s="16">
        <v>812.77499999999998</v>
      </c>
      <c r="J82" s="16">
        <v>122.634</v>
      </c>
    </row>
    <row r="83" spans="1:10" x14ac:dyDescent="0.2">
      <c r="A83" s="23" t="s">
        <v>155</v>
      </c>
      <c r="B83" s="16">
        <v>1469.08</v>
      </c>
      <c r="C83" s="16">
        <v>-5.4160000000000004</v>
      </c>
      <c r="D83" s="16">
        <v>5587.24</v>
      </c>
      <c r="E83" s="16">
        <v>801.50800000000004</v>
      </c>
      <c r="F83" s="16">
        <v>122.645</v>
      </c>
      <c r="G83" s="16">
        <v>5.4050000000000002</v>
      </c>
      <c r="H83" s="16">
        <v>5586.7139999999999</v>
      </c>
      <c r="I83" s="16">
        <v>812.31500000000005</v>
      </c>
      <c r="J83" s="16">
        <v>122.633</v>
      </c>
    </row>
    <row r="84" spans="1:10" x14ac:dyDescent="0.2">
      <c r="A84" s="23" t="s">
        <v>156</v>
      </c>
      <c r="B84" s="16">
        <v>1480</v>
      </c>
      <c r="C84" s="16">
        <v>-5.4390000000000001</v>
      </c>
      <c r="D84" s="16">
        <v>5576.2719999999999</v>
      </c>
      <c r="E84" s="16">
        <v>801.01099999999997</v>
      </c>
      <c r="F84" s="16">
        <v>122.64400000000001</v>
      </c>
      <c r="G84" s="16">
        <v>5.4269999999999996</v>
      </c>
      <c r="H84" s="16">
        <v>5575.8620000000001</v>
      </c>
      <c r="I84" s="16">
        <v>811.87</v>
      </c>
      <c r="J84" s="16">
        <v>122.63200000000001</v>
      </c>
    </row>
    <row r="85" spans="1:10" x14ac:dyDescent="0.2">
      <c r="A85" s="23" t="s">
        <v>157</v>
      </c>
      <c r="B85" s="16">
        <v>1500</v>
      </c>
      <c r="C85" s="16">
        <v>-5.4770000000000003</v>
      </c>
      <c r="D85" s="16">
        <v>5556.1769999999997</v>
      </c>
      <c r="E85" s="16">
        <v>800.40800000000002</v>
      </c>
      <c r="F85" s="16">
        <v>122.642</v>
      </c>
      <c r="G85" s="16">
        <v>5.4649999999999999</v>
      </c>
      <c r="H85" s="16">
        <v>5555.9740000000002</v>
      </c>
      <c r="I85" s="16">
        <v>811.34799999999996</v>
      </c>
      <c r="J85" s="16">
        <v>122.63</v>
      </c>
    </row>
    <row r="86" spans="1:10" x14ac:dyDescent="0.2">
      <c r="A86" s="23" t="s">
        <v>158</v>
      </c>
      <c r="B86" s="16">
        <v>1520</v>
      </c>
      <c r="C86" s="16">
        <v>-5.5090000000000003</v>
      </c>
      <c r="D86" s="16">
        <v>5536.076</v>
      </c>
      <c r="E86" s="16">
        <v>800.19100000000003</v>
      </c>
      <c r="F86" s="16">
        <v>122.64</v>
      </c>
      <c r="G86" s="16">
        <v>5.4969999999999999</v>
      </c>
      <c r="H86" s="16">
        <v>5536.076</v>
      </c>
      <c r="I86" s="16">
        <v>811.197</v>
      </c>
      <c r="J86" s="16">
        <v>122.628</v>
      </c>
    </row>
    <row r="87" spans="1:10" x14ac:dyDescent="0.2">
      <c r="A87" s="23" t="s">
        <v>159</v>
      </c>
      <c r="B87" s="16">
        <v>1540</v>
      </c>
      <c r="C87" s="16">
        <v>-5.5350000000000001</v>
      </c>
      <c r="D87" s="16">
        <v>5515.9780000000001</v>
      </c>
      <c r="E87" s="16">
        <v>800.346</v>
      </c>
      <c r="F87" s="16">
        <v>122.637</v>
      </c>
      <c r="G87" s="16">
        <v>5.5229999999999997</v>
      </c>
      <c r="H87" s="16">
        <v>5516.1760000000004</v>
      </c>
      <c r="I87" s="16">
        <v>811.40200000000004</v>
      </c>
      <c r="J87" s="16">
        <v>122.626</v>
      </c>
    </row>
    <row r="88" spans="1:10" x14ac:dyDescent="0.2">
      <c r="A88" s="23" t="s">
        <v>160</v>
      </c>
      <c r="B88" s="16">
        <v>1560</v>
      </c>
      <c r="C88" s="16">
        <v>-5.556</v>
      </c>
      <c r="D88" s="16">
        <v>5495.89</v>
      </c>
      <c r="E88" s="16">
        <v>800.85699999999997</v>
      </c>
      <c r="F88" s="16">
        <v>122.63500000000001</v>
      </c>
      <c r="G88" s="16">
        <v>5.5439999999999996</v>
      </c>
      <c r="H88" s="16">
        <v>5496.2780000000002</v>
      </c>
      <c r="I88" s="16">
        <v>811.95</v>
      </c>
      <c r="J88" s="16">
        <v>122.623</v>
      </c>
    </row>
    <row r="89" spans="1:10" x14ac:dyDescent="0.2">
      <c r="A89" s="23" t="s">
        <v>161</v>
      </c>
      <c r="B89" s="16">
        <v>1580</v>
      </c>
      <c r="C89" s="16">
        <v>-5.57</v>
      </c>
      <c r="D89" s="16">
        <v>5475.817</v>
      </c>
      <c r="E89" s="16">
        <v>801.71</v>
      </c>
      <c r="F89" s="16">
        <v>122.631</v>
      </c>
      <c r="G89" s="16">
        <v>5.5590000000000002</v>
      </c>
      <c r="H89" s="16">
        <v>5476.3890000000001</v>
      </c>
      <c r="I89" s="16">
        <v>812.82500000000005</v>
      </c>
      <c r="J89" s="16">
        <v>122.619</v>
      </c>
    </row>
    <row r="90" spans="1:10" x14ac:dyDescent="0.2">
      <c r="A90" s="23" t="s">
        <v>162</v>
      </c>
      <c r="B90" s="16">
        <v>1600</v>
      </c>
      <c r="C90" s="16">
        <v>-5.58</v>
      </c>
      <c r="D90" s="16">
        <v>5455.7650000000003</v>
      </c>
      <c r="E90" s="16">
        <v>802.89200000000005</v>
      </c>
      <c r="F90" s="16">
        <v>122.628</v>
      </c>
      <c r="G90" s="16">
        <v>5.5679999999999996</v>
      </c>
      <c r="H90" s="16">
        <v>5456.5119999999997</v>
      </c>
      <c r="I90" s="16">
        <v>814.01400000000001</v>
      </c>
      <c r="J90" s="16">
        <v>122.616</v>
      </c>
    </row>
    <row r="91" spans="1:10" x14ac:dyDescent="0.2">
      <c r="A91" s="23" t="s">
        <v>163</v>
      </c>
      <c r="B91" s="16">
        <v>1620</v>
      </c>
      <c r="C91" s="16">
        <v>-5.5830000000000002</v>
      </c>
      <c r="D91" s="16">
        <v>5435.7370000000001</v>
      </c>
      <c r="E91" s="16">
        <v>804.38599999999997</v>
      </c>
      <c r="F91" s="16">
        <v>122.624</v>
      </c>
      <c r="G91" s="16">
        <v>5.5709999999999997</v>
      </c>
      <c r="H91" s="16">
        <v>5436.6509999999998</v>
      </c>
      <c r="I91" s="16">
        <v>815.50300000000004</v>
      </c>
      <c r="J91" s="16">
        <v>122.61199999999999</v>
      </c>
    </row>
    <row r="92" spans="1:10" x14ac:dyDescent="0.2">
      <c r="A92" s="23" t="s">
        <v>164</v>
      </c>
      <c r="B92" s="16">
        <v>1640</v>
      </c>
      <c r="C92" s="16">
        <v>-5.5810000000000004</v>
      </c>
      <c r="D92" s="16">
        <v>5415.7380000000003</v>
      </c>
      <c r="E92" s="16">
        <v>806.178</v>
      </c>
      <c r="F92" s="16">
        <v>122.619</v>
      </c>
      <c r="G92" s="16">
        <v>5.569</v>
      </c>
      <c r="H92" s="16">
        <v>5416.81</v>
      </c>
      <c r="I92" s="16">
        <v>817.27599999999995</v>
      </c>
      <c r="J92" s="16">
        <v>122.608</v>
      </c>
    </row>
    <row r="93" spans="1:10" x14ac:dyDescent="0.2">
      <c r="A93" s="23" t="s">
        <v>165</v>
      </c>
      <c r="B93" s="16">
        <v>1660</v>
      </c>
      <c r="C93" s="16">
        <v>-5.5730000000000004</v>
      </c>
      <c r="D93" s="16">
        <v>5395.77</v>
      </c>
      <c r="E93" s="16">
        <v>808.25400000000002</v>
      </c>
      <c r="F93" s="16">
        <v>122.61499999999999</v>
      </c>
      <c r="G93" s="16">
        <v>5.5609999999999999</v>
      </c>
      <c r="H93" s="16">
        <v>5396.991</v>
      </c>
      <c r="I93" s="16">
        <v>819.32100000000003</v>
      </c>
      <c r="J93" s="16">
        <v>122.60299999999999</v>
      </c>
    </row>
    <row r="94" spans="1:10" x14ac:dyDescent="0.2">
      <c r="A94" s="23" t="s">
        <v>166</v>
      </c>
      <c r="B94" s="16">
        <v>1680</v>
      </c>
      <c r="C94" s="16">
        <v>-5.56</v>
      </c>
      <c r="D94" s="16">
        <v>5375.8360000000002</v>
      </c>
      <c r="E94" s="16">
        <v>810.59799999999996</v>
      </c>
      <c r="F94" s="16">
        <v>122.61</v>
      </c>
      <c r="G94" s="16">
        <v>5.548</v>
      </c>
      <c r="H94" s="16">
        <v>5377.1959999999999</v>
      </c>
      <c r="I94" s="16">
        <v>821.62199999999996</v>
      </c>
      <c r="J94" s="16">
        <v>122.598</v>
      </c>
    </row>
    <row r="95" spans="1:10" x14ac:dyDescent="0.2">
      <c r="A95" s="23" t="s">
        <v>167</v>
      </c>
      <c r="B95" s="16">
        <v>1700</v>
      </c>
      <c r="C95" s="16">
        <v>-5.5410000000000004</v>
      </c>
      <c r="D95" s="16">
        <v>5355.9369999999999</v>
      </c>
      <c r="E95" s="16">
        <v>813.197</v>
      </c>
      <c r="F95" s="16">
        <v>122.605</v>
      </c>
      <c r="G95" s="16">
        <v>5.5289999999999999</v>
      </c>
      <c r="H95" s="16">
        <v>5357.4260000000004</v>
      </c>
      <c r="I95" s="16">
        <v>824.16600000000005</v>
      </c>
      <c r="J95" s="16">
        <v>122.593</v>
      </c>
    </row>
    <row r="96" spans="1:10" x14ac:dyDescent="0.2">
      <c r="A96" s="23" t="s">
        <v>168</v>
      </c>
      <c r="B96" s="16">
        <v>1720</v>
      </c>
      <c r="C96" s="16">
        <v>-5.516</v>
      </c>
      <c r="D96" s="16">
        <v>5336.076</v>
      </c>
      <c r="E96" s="16">
        <v>816.03399999999999</v>
      </c>
      <c r="F96" s="16">
        <v>122.599</v>
      </c>
      <c r="G96" s="16">
        <v>5.5049999999999999</v>
      </c>
      <c r="H96" s="16">
        <v>5337.683</v>
      </c>
      <c r="I96" s="16">
        <v>826.93700000000001</v>
      </c>
      <c r="J96" s="16">
        <v>122.58799999999999</v>
      </c>
    </row>
    <row r="97" spans="1:10" x14ac:dyDescent="0.2">
      <c r="A97" s="23" t="s">
        <v>169</v>
      </c>
      <c r="B97" s="16">
        <v>1740</v>
      </c>
      <c r="C97" s="16">
        <v>-5.4859999999999998</v>
      </c>
      <c r="D97" s="16">
        <v>5316.2520000000004</v>
      </c>
      <c r="E97" s="16">
        <v>819.09699999999998</v>
      </c>
      <c r="F97" s="16">
        <v>122.59399999999999</v>
      </c>
      <c r="G97" s="16">
        <v>5.4749999999999996</v>
      </c>
      <c r="H97" s="16">
        <v>5317.9669999999996</v>
      </c>
      <c r="I97" s="16">
        <v>829.923</v>
      </c>
      <c r="J97" s="16">
        <v>122.583</v>
      </c>
    </row>
    <row r="98" spans="1:10" x14ac:dyDescent="0.2">
      <c r="A98" s="23" t="s">
        <v>170</v>
      </c>
      <c r="B98" s="16">
        <v>1760</v>
      </c>
      <c r="C98" s="16">
        <v>-5.45</v>
      </c>
      <c r="D98" s="16">
        <v>5296.4660000000003</v>
      </c>
      <c r="E98" s="16">
        <v>822.37</v>
      </c>
      <c r="F98" s="16">
        <v>122.58799999999999</v>
      </c>
      <c r="G98" s="16">
        <v>5.4390000000000001</v>
      </c>
      <c r="H98" s="16">
        <v>5298.277</v>
      </c>
      <c r="I98" s="16">
        <v>833.10699999999997</v>
      </c>
      <c r="J98" s="16">
        <v>122.577</v>
      </c>
    </row>
    <row r="99" spans="1:10" x14ac:dyDescent="0.2">
      <c r="A99" s="23" t="s">
        <v>171</v>
      </c>
      <c r="B99" s="16">
        <v>1780</v>
      </c>
      <c r="C99" s="16">
        <v>-5.4089999999999998</v>
      </c>
      <c r="D99" s="16">
        <v>5276.7179999999998</v>
      </c>
      <c r="E99" s="16">
        <v>825.83799999999997</v>
      </c>
      <c r="F99" s="16">
        <v>122.58199999999999</v>
      </c>
      <c r="G99" s="16">
        <v>5.3979999999999997</v>
      </c>
      <c r="H99" s="16">
        <v>5278.6139999999996</v>
      </c>
      <c r="I99" s="16">
        <v>836.47699999999998</v>
      </c>
      <c r="J99" s="16">
        <v>122.571</v>
      </c>
    </row>
    <row r="100" spans="1:10" x14ac:dyDescent="0.2">
      <c r="A100" s="23" t="s">
        <v>172</v>
      </c>
      <c r="B100" s="16">
        <v>1800</v>
      </c>
      <c r="C100" s="16">
        <v>-5.3620000000000001</v>
      </c>
      <c r="D100" s="16">
        <v>5257.0069999999996</v>
      </c>
      <c r="E100" s="16">
        <v>829.48699999999997</v>
      </c>
      <c r="F100" s="16">
        <v>122.57599999999999</v>
      </c>
      <c r="G100" s="16">
        <v>5.351</v>
      </c>
      <c r="H100" s="16">
        <v>5258.9769999999999</v>
      </c>
      <c r="I100" s="16">
        <v>840.01800000000003</v>
      </c>
      <c r="J100" s="16">
        <v>122.565</v>
      </c>
    </row>
    <row r="101" spans="1:10" x14ac:dyDescent="0.2">
      <c r="A101" s="23" t="s">
        <v>173</v>
      </c>
      <c r="B101" s="16">
        <v>1820</v>
      </c>
      <c r="C101" s="16">
        <v>-5.31</v>
      </c>
      <c r="D101" s="16">
        <v>5237.3310000000001</v>
      </c>
      <c r="E101" s="16">
        <v>833.30399999999997</v>
      </c>
      <c r="F101" s="16">
        <v>122.569</v>
      </c>
      <c r="G101" s="16">
        <v>5.2990000000000004</v>
      </c>
      <c r="H101" s="16">
        <v>5239.3649999999998</v>
      </c>
      <c r="I101" s="16">
        <v>843.71600000000001</v>
      </c>
      <c r="J101" s="16">
        <v>122.559</v>
      </c>
    </row>
    <row r="102" spans="1:10" x14ac:dyDescent="0.2">
      <c r="A102" s="23" t="s">
        <v>174</v>
      </c>
      <c r="B102" s="16">
        <v>1840</v>
      </c>
      <c r="C102" s="16">
        <v>-5.2519999999999998</v>
      </c>
      <c r="D102" s="16">
        <v>5217.6899999999996</v>
      </c>
      <c r="E102" s="16">
        <v>837.27300000000002</v>
      </c>
      <c r="F102" s="16">
        <v>122.563</v>
      </c>
      <c r="G102" s="16">
        <v>5.2409999999999997</v>
      </c>
      <c r="H102" s="16">
        <v>5219.7749999999996</v>
      </c>
      <c r="I102" s="16">
        <v>847.55700000000002</v>
      </c>
      <c r="J102" s="16">
        <v>122.55200000000001</v>
      </c>
    </row>
    <row r="103" spans="1:10" x14ac:dyDescent="0.2">
      <c r="A103" s="23" t="s">
        <v>175</v>
      </c>
      <c r="B103" s="16">
        <v>1860</v>
      </c>
      <c r="C103" s="16">
        <v>-5.1890000000000001</v>
      </c>
      <c r="D103" s="16">
        <v>5198.0820000000003</v>
      </c>
      <c r="E103" s="16">
        <v>841.38</v>
      </c>
      <c r="F103" s="16">
        <v>122.556</v>
      </c>
      <c r="G103" s="16">
        <v>5.1779999999999999</v>
      </c>
      <c r="H103" s="16">
        <v>5200.2079999999996</v>
      </c>
      <c r="I103" s="16">
        <v>851.52700000000004</v>
      </c>
      <c r="J103" s="16">
        <v>122.54600000000001</v>
      </c>
    </row>
    <row r="104" spans="1:10" x14ac:dyDescent="0.2">
      <c r="A104" s="23" t="s">
        <v>176</v>
      </c>
      <c r="B104" s="16">
        <v>1880</v>
      </c>
      <c r="C104" s="16">
        <v>-5.12</v>
      </c>
      <c r="D104" s="16">
        <v>5178.5039999999999</v>
      </c>
      <c r="E104" s="16">
        <v>845.61099999999999</v>
      </c>
      <c r="F104" s="16">
        <v>122.54900000000001</v>
      </c>
      <c r="G104" s="16">
        <v>5.1100000000000003</v>
      </c>
      <c r="H104" s="16">
        <v>5180.6589999999997</v>
      </c>
      <c r="I104" s="16">
        <v>855.61099999999999</v>
      </c>
      <c r="J104" s="16">
        <v>122.539</v>
      </c>
    </row>
    <row r="105" spans="1:10" x14ac:dyDescent="0.2">
      <c r="A105" s="23" t="s">
        <v>177</v>
      </c>
      <c r="B105" s="16">
        <v>1900</v>
      </c>
      <c r="C105" s="16">
        <v>-5.0460000000000003</v>
      </c>
      <c r="D105" s="16">
        <v>5158.9549999999999</v>
      </c>
      <c r="E105" s="16">
        <v>849.952</v>
      </c>
      <c r="F105" s="16">
        <v>122.542</v>
      </c>
      <c r="G105" s="16">
        <v>5.0359999999999996</v>
      </c>
      <c r="H105" s="16">
        <v>5161.1279999999997</v>
      </c>
      <c r="I105" s="16">
        <v>859.79600000000005</v>
      </c>
      <c r="J105" s="16">
        <v>122.532</v>
      </c>
    </row>
    <row r="106" spans="1:10" x14ac:dyDescent="0.2">
      <c r="A106" s="23" t="s">
        <v>178</v>
      </c>
      <c r="B106" s="16">
        <v>1920</v>
      </c>
      <c r="C106" s="16">
        <v>-4.9660000000000002</v>
      </c>
      <c r="D106" s="16">
        <v>5139.4309999999996</v>
      </c>
      <c r="E106" s="16">
        <v>854.38800000000003</v>
      </c>
      <c r="F106" s="16">
        <v>122.535</v>
      </c>
      <c r="G106" s="16">
        <v>4.9560000000000004</v>
      </c>
      <c r="H106" s="16">
        <v>5141.6120000000001</v>
      </c>
      <c r="I106" s="16">
        <v>864.06899999999996</v>
      </c>
      <c r="J106" s="16">
        <v>122.52500000000001</v>
      </c>
    </row>
    <row r="107" spans="1:10" x14ac:dyDescent="0.2">
      <c r="A107" s="23" t="s">
        <v>179</v>
      </c>
      <c r="B107" s="16">
        <v>1940</v>
      </c>
      <c r="C107" s="16">
        <v>-4.8810000000000002</v>
      </c>
      <c r="D107" s="16">
        <v>5119.93</v>
      </c>
      <c r="E107" s="16">
        <v>858.90700000000004</v>
      </c>
      <c r="F107" s="16">
        <v>122.52800000000001</v>
      </c>
      <c r="G107" s="16">
        <v>4.8710000000000004</v>
      </c>
      <c r="H107" s="16">
        <v>5122.107</v>
      </c>
      <c r="I107" s="16">
        <v>868.41399999999999</v>
      </c>
      <c r="J107" s="16">
        <v>122.518</v>
      </c>
    </row>
    <row r="108" spans="1:10" x14ac:dyDescent="0.2">
      <c r="A108" s="23" t="s">
        <v>180</v>
      </c>
      <c r="B108" s="16">
        <v>1960</v>
      </c>
      <c r="C108" s="16">
        <v>-4.7910000000000004</v>
      </c>
      <c r="D108" s="16">
        <v>5100.4480000000003</v>
      </c>
      <c r="E108" s="16">
        <v>863.49400000000003</v>
      </c>
      <c r="F108" s="16">
        <v>122.521</v>
      </c>
      <c r="G108" s="16">
        <v>4.7809999999999997</v>
      </c>
      <c r="H108" s="16">
        <v>5102.6120000000001</v>
      </c>
      <c r="I108" s="16">
        <v>872.81799999999998</v>
      </c>
      <c r="J108" s="16">
        <v>122.511</v>
      </c>
    </row>
    <row r="109" spans="1:10" x14ac:dyDescent="0.2">
      <c r="A109" s="23" t="s">
        <v>181</v>
      </c>
      <c r="B109" s="16">
        <v>1980</v>
      </c>
      <c r="C109" s="16">
        <v>-4.6950000000000003</v>
      </c>
      <c r="D109" s="16">
        <v>5080.9830000000002</v>
      </c>
      <c r="E109" s="16">
        <v>868.13400000000001</v>
      </c>
      <c r="F109" s="16">
        <v>122.514</v>
      </c>
      <c r="G109" s="16">
        <v>4.6859999999999999</v>
      </c>
      <c r="H109" s="16">
        <v>5083.1239999999998</v>
      </c>
      <c r="I109" s="16">
        <v>877.26700000000005</v>
      </c>
      <c r="J109" s="16">
        <v>122.504</v>
      </c>
    </row>
    <row r="110" spans="1:10" x14ac:dyDescent="0.2">
      <c r="A110" s="23" t="s">
        <v>182</v>
      </c>
      <c r="B110" s="16">
        <v>2000</v>
      </c>
      <c r="C110" s="16">
        <v>-4.5940000000000003</v>
      </c>
      <c r="D110" s="16">
        <v>5061.5309999999999</v>
      </c>
      <c r="E110" s="16">
        <v>872.81500000000005</v>
      </c>
      <c r="F110" s="16">
        <v>122.50700000000001</v>
      </c>
      <c r="G110" s="16">
        <v>4.585</v>
      </c>
      <c r="H110" s="16">
        <v>5063.6390000000001</v>
      </c>
      <c r="I110" s="16">
        <v>881.74800000000005</v>
      </c>
      <c r="J110" s="16">
        <v>122.497</v>
      </c>
    </row>
    <row r="111" spans="1:10" x14ac:dyDescent="0.2">
      <c r="A111" s="23" t="s">
        <v>183</v>
      </c>
      <c r="B111" s="16">
        <v>2020</v>
      </c>
      <c r="C111" s="16">
        <v>-4.4870000000000001</v>
      </c>
      <c r="D111" s="16">
        <v>5042.0889999999999</v>
      </c>
      <c r="E111" s="16">
        <v>877.52200000000005</v>
      </c>
      <c r="F111" s="16">
        <v>122.499</v>
      </c>
      <c r="G111" s="16">
        <v>4.4779999999999998</v>
      </c>
      <c r="H111" s="16">
        <v>5044.1549999999997</v>
      </c>
      <c r="I111" s="16">
        <v>886.24599999999998</v>
      </c>
      <c r="J111" s="16">
        <v>122.49</v>
      </c>
    </row>
    <row r="112" spans="1:10" x14ac:dyDescent="0.2">
      <c r="A112" s="23" t="s">
        <v>184</v>
      </c>
      <c r="B112" s="16">
        <v>2031.58</v>
      </c>
      <c r="C112" s="16">
        <v>-4.423</v>
      </c>
      <c r="D112" s="16">
        <v>5030.835</v>
      </c>
      <c r="E112" s="16">
        <v>880.25400000000002</v>
      </c>
      <c r="F112" s="16">
        <v>122.495</v>
      </c>
      <c r="G112" s="16">
        <v>4.4139999999999997</v>
      </c>
      <c r="H112" s="16">
        <v>5032.8720000000003</v>
      </c>
      <c r="I112" s="16">
        <v>888.85299999999995</v>
      </c>
      <c r="J112" s="16">
        <v>122.486</v>
      </c>
    </row>
    <row r="113" spans="1:10" x14ac:dyDescent="0.2">
      <c r="A113" s="23" t="s">
        <v>185</v>
      </c>
      <c r="B113" s="16">
        <v>2040</v>
      </c>
      <c r="C113" s="16">
        <v>-4.3760000000000003</v>
      </c>
      <c r="D113" s="16">
        <v>5022.6530000000002</v>
      </c>
      <c r="E113" s="16">
        <v>882.24099999999999</v>
      </c>
      <c r="F113" s="16">
        <v>122.492</v>
      </c>
      <c r="G113" s="16">
        <v>4.367</v>
      </c>
      <c r="H113" s="16">
        <v>5024.6679999999997</v>
      </c>
      <c r="I113" s="16">
        <v>890.74800000000005</v>
      </c>
      <c r="J113" s="16">
        <v>122.483</v>
      </c>
    </row>
    <row r="114" spans="1:10" x14ac:dyDescent="0.2">
      <c r="A114" s="23" t="s">
        <v>186</v>
      </c>
      <c r="B114" s="16">
        <v>2060</v>
      </c>
      <c r="C114" s="16">
        <v>-4.2679999999999998</v>
      </c>
      <c r="D114" s="16">
        <v>5003.2160000000003</v>
      </c>
      <c r="E114" s="16">
        <v>886.95699999999999</v>
      </c>
      <c r="F114" s="16">
        <v>122.49299999999999</v>
      </c>
      <c r="G114" s="16">
        <v>4.274</v>
      </c>
      <c r="H114" s="16">
        <v>5005.1859999999997</v>
      </c>
      <c r="I114" s="16">
        <v>895.27</v>
      </c>
      <c r="J114" s="16">
        <v>122.5</v>
      </c>
    </row>
    <row r="115" spans="1:10" x14ac:dyDescent="0.2">
      <c r="A115" s="23" t="s">
        <v>187</v>
      </c>
      <c r="B115" s="16">
        <v>2080</v>
      </c>
      <c r="C115" s="16">
        <v>-4.1840000000000002</v>
      </c>
      <c r="D115" s="16">
        <v>4983.7749999999996</v>
      </c>
      <c r="E115" s="16">
        <v>891.65</v>
      </c>
      <c r="F115" s="16">
        <v>122.51900000000001</v>
      </c>
      <c r="G115" s="16">
        <v>4.1909999999999998</v>
      </c>
      <c r="H115" s="16">
        <v>4985.7060000000001</v>
      </c>
      <c r="I115" s="16">
        <v>899.79899999999998</v>
      </c>
      <c r="J115" s="16">
        <v>122.52500000000001</v>
      </c>
    </row>
    <row r="116" spans="1:10" x14ac:dyDescent="0.2">
      <c r="A116" s="23" t="s">
        <v>188</v>
      </c>
      <c r="B116" s="16">
        <v>2100</v>
      </c>
      <c r="C116" s="16">
        <v>-4.1989999999999998</v>
      </c>
      <c r="D116" s="16">
        <v>4964.3100000000004</v>
      </c>
      <c r="E116" s="16">
        <v>896.24599999999998</v>
      </c>
      <c r="F116" s="16">
        <v>122.545</v>
      </c>
      <c r="G116" s="16">
        <v>4.1929999999999996</v>
      </c>
      <c r="H116" s="16">
        <v>4966.2449999999999</v>
      </c>
      <c r="I116" s="16">
        <v>904.41200000000003</v>
      </c>
      <c r="J116" s="16">
        <v>122.551</v>
      </c>
    </row>
    <row r="117" spans="1:10" x14ac:dyDescent="0.2">
      <c r="A117" s="23" t="s">
        <v>189</v>
      </c>
      <c r="B117" s="16">
        <v>2120</v>
      </c>
      <c r="C117" s="16">
        <v>-4.2830000000000004</v>
      </c>
      <c r="D117" s="16">
        <v>4944.83</v>
      </c>
      <c r="E117" s="16">
        <v>900.77599999999995</v>
      </c>
      <c r="F117" s="16">
        <v>122.57</v>
      </c>
      <c r="G117" s="16">
        <v>4.2759999999999998</v>
      </c>
      <c r="H117" s="16">
        <v>4946.8029999999999</v>
      </c>
      <c r="I117" s="16">
        <v>909.10500000000002</v>
      </c>
      <c r="J117" s="16">
        <v>122.577</v>
      </c>
    </row>
    <row r="118" spans="1:10" x14ac:dyDescent="0.2">
      <c r="A118" s="23" t="s">
        <v>190</v>
      </c>
      <c r="B118" s="16">
        <v>2140</v>
      </c>
      <c r="C118" s="16">
        <v>-4.367</v>
      </c>
      <c r="D118" s="16">
        <v>4925.3490000000002</v>
      </c>
      <c r="E118" s="16">
        <v>905.30600000000004</v>
      </c>
      <c r="F118" s="16">
        <v>122.596</v>
      </c>
      <c r="G118" s="16">
        <v>4.3600000000000003</v>
      </c>
      <c r="H118" s="16">
        <v>4927.3609999999999</v>
      </c>
      <c r="I118" s="16">
        <v>913.79700000000003</v>
      </c>
      <c r="J118" s="16">
        <v>122.60299999999999</v>
      </c>
    </row>
    <row r="119" spans="1:10" x14ac:dyDescent="0.2">
      <c r="A119" s="23" t="s">
        <v>191</v>
      </c>
      <c r="B119" s="16">
        <v>2160</v>
      </c>
      <c r="C119" s="16">
        <v>-4.45</v>
      </c>
      <c r="D119" s="16">
        <v>4905.8689999999997</v>
      </c>
      <c r="E119" s="16">
        <v>909.83500000000004</v>
      </c>
      <c r="F119" s="16">
        <v>122.622</v>
      </c>
      <c r="G119" s="16">
        <v>4.444</v>
      </c>
      <c r="H119" s="16">
        <v>4907.9189999999999</v>
      </c>
      <c r="I119" s="16">
        <v>918.49</v>
      </c>
      <c r="J119" s="16">
        <v>122.628</v>
      </c>
    </row>
    <row r="120" spans="1:10" x14ac:dyDescent="0.2">
      <c r="A120" s="23" t="s">
        <v>192</v>
      </c>
      <c r="B120" s="16">
        <v>2180</v>
      </c>
      <c r="C120" s="16">
        <v>-4.5339999999999998</v>
      </c>
      <c r="D120" s="16">
        <v>4886.3879999999999</v>
      </c>
      <c r="E120" s="16">
        <v>914.36500000000001</v>
      </c>
      <c r="F120" s="16">
        <v>122.64700000000001</v>
      </c>
      <c r="G120" s="16">
        <v>4.5270000000000001</v>
      </c>
      <c r="H120" s="16">
        <v>4888.4769999999999</v>
      </c>
      <c r="I120" s="16">
        <v>923.18200000000002</v>
      </c>
      <c r="J120" s="16">
        <v>122.654</v>
      </c>
    </row>
    <row r="121" spans="1:10" x14ac:dyDescent="0.2">
      <c r="A121" s="23" t="s">
        <v>193</v>
      </c>
      <c r="B121" s="16">
        <v>2200</v>
      </c>
      <c r="C121" s="16">
        <v>-4.6180000000000003</v>
      </c>
      <c r="D121" s="16">
        <v>4866.9080000000004</v>
      </c>
      <c r="E121" s="16">
        <v>918.89499999999998</v>
      </c>
      <c r="F121" s="16">
        <v>122.673</v>
      </c>
      <c r="G121" s="16">
        <v>4.6109999999999998</v>
      </c>
      <c r="H121" s="16">
        <v>4869.0349999999999</v>
      </c>
      <c r="I121" s="16">
        <v>927.87400000000002</v>
      </c>
      <c r="J121" s="16">
        <v>122.68</v>
      </c>
    </row>
    <row r="122" spans="1:10" x14ac:dyDescent="0.2">
      <c r="A122" s="23" t="s">
        <v>194</v>
      </c>
      <c r="B122" s="16">
        <v>2220</v>
      </c>
      <c r="C122" s="16">
        <v>-4.7009999999999996</v>
      </c>
      <c r="D122" s="16">
        <v>4847.4269999999997</v>
      </c>
      <c r="E122" s="16">
        <v>923.42399999999998</v>
      </c>
      <c r="F122" s="16">
        <v>122.699</v>
      </c>
      <c r="G122" s="16">
        <v>4.694</v>
      </c>
      <c r="H122" s="16">
        <v>4849.5929999999998</v>
      </c>
      <c r="I122" s="16">
        <v>932.56700000000001</v>
      </c>
      <c r="J122" s="16">
        <v>122.706</v>
      </c>
    </row>
    <row r="123" spans="1:10" x14ac:dyDescent="0.2">
      <c r="A123" s="23" t="s">
        <v>195</v>
      </c>
      <c r="B123" s="16">
        <v>2240</v>
      </c>
      <c r="C123" s="16">
        <v>-4.7850000000000001</v>
      </c>
      <c r="D123" s="16">
        <v>4827.9470000000001</v>
      </c>
      <c r="E123" s="16">
        <v>927.95399999999995</v>
      </c>
      <c r="F123" s="16">
        <v>122.724</v>
      </c>
      <c r="G123" s="16">
        <v>4.7779999999999996</v>
      </c>
      <c r="H123" s="16">
        <v>4830.1509999999998</v>
      </c>
      <c r="I123" s="16">
        <v>937.25900000000001</v>
      </c>
      <c r="J123" s="16">
        <v>122.73099999999999</v>
      </c>
    </row>
    <row r="124" spans="1:10" x14ac:dyDescent="0.2">
      <c r="A124" s="23" t="s">
        <v>196</v>
      </c>
      <c r="B124" s="16">
        <v>2260</v>
      </c>
      <c r="C124" s="16">
        <v>-4.8689999999999998</v>
      </c>
      <c r="D124" s="16">
        <v>4808.4660000000003</v>
      </c>
      <c r="E124" s="16">
        <v>932.48400000000004</v>
      </c>
      <c r="F124" s="16">
        <v>122.75</v>
      </c>
      <c r="G124" s="16">
        <v>4.8609999999999998</v>
      </c>
      <c r="H124" s="16">
        <v>4810.7089999999998</v>
      </c>
      <c r="I124" s="16">
        <v>941.952</v>
      </c>
      <c r="J124" s="16">
        <v>122.75700000000001</v>
      </c>
    </row>
    <row r="125" spans="1:10" x14ac:dyDescent="0.2">
      <c r="A125" s="23" t="s">
        <v>197</v>
      </c>
      <c r="B125" s="16">
        <v>2280</v>
      </c>
      <c r="C125" s="16">
        <v>-4.952</v>
      </c>
      <c r="D125" s="16">
        <v>4788.9859999999999</v>
      </c>
      <c r="E125" s="16">
        <v>937.01300000000003</v>
      </c>
      <c r="F125" s="16">
        <v>122.776</v>
      </c>
      <c r="G125" s="16">
        <v>4.9450000000000003</v>
      </c>
      <c r="H125" s="16">
        <v>4791.268</v>
      </c>
      <c r="I125" s="16">
        <v>946.64400000000001</v>
      </c>
      <c r="J125" s="16">
        <v>122.783</v>
      </c>
    </row>
    <row r="126" spans="1:10" x14ac:dyDescent="0.2">
      <c r="A126" s="23" t="s">
        <v>198</v>
      </c>
      <c r="B126" s="16">
        <v>2300</v>
      </c>
      <c r="C126" s="16">
        <v>-5.0359999999999996</v>
      </c>
      <c r="D126" s="16">
        <v>4769.5050000000001</v>
      </c>
      <c r="E126" s="16">
        <v>941.54300000000001</v>
      </c>
      <c r="F126" s="16">
        <v>122.801</v>
      </c>
      <c r="G126" s="16">
        <v>5.0289999999999999</v>
      </c>
      <c r="H126" s="16">
        <v>4771.826</v>
      </c>
      <c r="I126" s="16">
        <v>951.33699999999999</v>
      </c>
      <c r="J126" s="16">
        <v>122.809</v>
      </c>
    </row>
    <row r="127" spans="1:10" x14ac:dyDescent="0.2">
      <c r="A127" s="23" t="s">
        <v>199</v>
      </c>
      <c r="B127" s="16">
        <v>2320</v>
      </c>
      <c r="C127" s="16">
        <v>-5.12</v>
      </c>
      <c r="D127" s="16">
        <v>4750.0249999999996</v>
      </c>
      <c r="E127" s="16">
        <v>946.07299999999998</v>
      </c>
      <c r="F127" s="16">
        <v>122.827</v>
      </c>
      <c r="G127" s="16">
        <v>5.1120000000000001</v>
      </c>
      <c r="H127" s="16">
        <v>4752.384</v>
      </c>
      <c r="I127" s="16">
        <v>956.029</v>
      </c>
      <c r="J127" s="16">
        <v>122.83499999999999</v>
      </c>
    </row>
    <row r="128" spans="1:10" x14ac:dyDescent="0.2">
      <c r="A128" s="23" t="s">
        <v>200</v>
      </c>
      <c r="B128" s="16">
        <v>2340</v>
      </c>
      <c r="C128" s="16">
        <v>-5.2030000000000003</v>
      </c>
      <c r="D128" s="16">
        <v>4730.5439999999999</v>
      </c>
      <c r="E128" s="16">
        <v>950.60199999999998</v>
      </c>
      <c r="F128" s="16">
        <v>122.85299999999999</v>
      </c>
      <c r="G128" s="16">
        <v>5.1959999999999997</v>
      </c>
      <c r="H128" s="16">
        <v>4732.942</v>
      </c>
      <c r="I128" s="16">
        <v>960.721</v>
      </c>
      <c r="J128" s="16">
        <v>122.86</v>
      </c>
    </row>
    <row r="129" spans="1:10" x14ac:dyDescent="0.2">
      <c r="A129" s="23" t="s">
        <v>201</v>
      </c>
      <c r="B129" s="16">
        <v>2360</v>
      </c>
      <c r="C129" s="16">
        <v>-5.2869999999999999</v>
      </c>
      <c r="D129" s="16">
        <v>4711.0640000000003</v>
      </c>
      <c r="E129" s="16">
        <v>955.13199999999995</v>
      </c>
      <c r="F129" s="16">
        <v>122.878</v>
      </c>
      <c r="G129" s="16">
        <v>5.2789999999999999</v>
      </c>
      <c r="H129" s="16">
        <v>4713.5</v>
      </c>
      <c r="I129" s="16">
        <v>965.41399999999999</v>
      </c>
      <c r="J129" s="16">
        <v>122.886</v>
      </c>
    </row>
    <row r="130" spans="1:10" x14ac:dyDescent="0.2">
      <c r="A130" s="23" t="s">
        <v>202</v>
      </c>
      <c r="B130" s="16">
        <v>2380</v>
      </c>
      <c r="C130" s="16">
        <v>-5.3710000000000004</v>
      </c>
      <c r="D130" s="16">
        <v>4691.5829999999996</v>
      </c>
      <c r="E130" s="16">
        <v>959.66200000000003</v>
      </c>
      <c r="F130" s="16">
        <v>122.904</v>
      </c>
      <c r="G130" s="16">
        <v>5.3630000000000004</v>
      </c>
      <c r="H130" s="16">
        <v>4694.058</v>
      </c>
      <c r="I130" s="16">
        <v>970.10599999999999</v>
      </c>
      <c r="J130" s="16">
        <v>122.91200000000001</v>
      </c>
    </row>
    <row r="131" spans="1:10" x14ac:dyDescent="0.2">
      <c r="A131" s="23" t="s">
        <v>203</v>
      </c>
      <c r="B131" s="16">
        <v>2400</v>
      </c>
      <c r="C131" s="16">
        <v>-5.4550000000000001</v>
      </c>
      <c r="D131" s="16">
        <v>4672.1030000000001</v>
      </c>
      <c r="E131" s="16">
        <v>964.19100000000003</v>
      </c>
      <c r="F131" s="16">
        <v>122.93</v>
      </c>
      <c r="G131" s="16">
        <v>5.4459999999999997</v>
      </c>
      <c r="H131" s="16">
        <v>4674.616</v>
      </c>
      <c r="I131" s="16">
        <v>974.79899999999998</v>
      </c>
      <c r="J131" s="16">
        <v>122.938</v>
      </c>
    </row>
    <row r="132" spans="1:10" x14ac:dyDescent="0.2">
      <c r="A132" s="23" t="s">
        <v>204</v>
      </c>
      <c r="B132" s="16">
        <v>2420</v>
      </c>
      <c r="C132" s="16">
        <v>-5.5380000000000003</v>
      </c>
      <c r="D132" s="16">
        <v>4652.6220000000003</v>
      </c>
      <c r="E132" s="16">
        <v>968.721</v>
      </c>
      <c r="F132" s="16">
        <v>122.955</v>
      </c>
      <c r="G132" s="16">
        <v>5.53</v>
      </c>
      <c r="H132" s="16">
        <v>4655.174</v>
      </c>
      <c r="I132" s="16">
        <v>979.49099999999999</v>
      </c>
      <c r="J132" s="16">
        <v>122.964</v>
      </c>
    </row>
    <row r="133" spans="1:10" x14ac:dyDescent="0.2">
      <c r="A133" s="23" t="s">
        <v>205</v>
      </c>
      <c r="B133" s="16">
        <v>2440</v>
      </c>
      <c r="C133" s="16">
        <v>-5.6219999999999999</v>
      </c>
      <c r="D133" s="16">
        <v>4633.1419999999998</v>
      </c>
      <c r="E133" s="16">
        <v>973.25099999999998</v>
      </c>
      <c r="F133" s="16">
        <v>122.98099999999999</v>
      </c>
      <c r="G133" s="16">
        <v>5.6139999999999999</v>
      </c>
      <c r="H133" s="16">
        <v>4635.732</v>
      </c>
      <c r="I133" s="16">
        <v>984.18299999999999</v>
      </c>
      <c r="J133" s="16">
        <v>122.989</v>
      </c>
    </row>
    <row r="134" spans="1:10" x14ac:dyDescent="0.2">
      <c r="A134" s="23" t="s">
        <v>206</v>
      </c>
      <c r="B134" s="16">
        <v>2460</v>
      </c>
      <c r="C134" s="16">
        <v>-5.7060000000000004</v>
      </c>
      <c r="D134" s="16">
        <v>4613.6610000000001</v>
      </c>
      <c r="E134" s="16">
        <v>977.78</v>
      </c>
      <c r="F134" s="16">
        <v>123.00700000000001</v>
      </c>
      <c r="G134" s="16">
        <v>5.6970000000000001</v>
      </c>
      <c r="H134" s="16">
        <v>4616.29</v>
      </c>
      <c r="I134" s="16">
        <v>988.87599999999998</v>
      </c>
      <c r="J134" s="16">
        <v>123.015</v>
      </c>
    </row>
    <row r="135" spans="1:10" x14ac:dyDescent="0.2">
      <c r="A135" s="23" t="s">
        <v>207</v>
      </c>
      <c r="B135" s="16">
        <v>2480</v>
      </c>
      <c r="C135" s="16">
        <v>-5.7889999999999997</v>
      </c>
      <c r="D135" s="16">
        <v>4594.1809999999996</v>
      </c>
      <c r="E135" s="16">
        <v>982.31</v>
      </c>
      <c r="F135" s="16">
        <v>123.032</v>
      </c>
      <c r="G135" s="16">
        <v>5.7809999999999997</v>
      </c>
      <c r="H135" s="16">
        <v>4596.848</v>
      </c>
      <c r="I135" s="16">
        <v>993.56799999999998</v>
      </c>
      <c r="J135" s="16">
        <v>123.041</v>
      </c>
    </row>
    <row r="136" spans="1:10" x14ac:dyDescent="0.2">
      <c r="A136" s="23" t="s">
        <v>208</v>
      </c>
      <c r="B136" s="16">
        <v>2500</v>
      </c>
      <c r="C136" s="16">
        <v>-5.8730000000000002</v>
      </c>
      <c r="D136" s="16">
        <v>4574.7</v>
      </c>
      <c r="E136" s="16">
        <v>986.84</v>
      </c>
      <c r="F136" s="16">
        <v>123.05800000000001</v>
      </c>
      <c r="G136" s="16">
        <v>5.8639999999999999</v>
      </c>
      <c r="H136" s="16">
        <v>4577.4059999999999</v>
      </c>
      <c r="I136" s="16">
        <v>998.26099999999997</v>
      </c>
      <c r="J136" s="16">
        <v>123.06699999999999</v>
      </c>
    </row>
    <row r="137" spans="1:10" x14ac:dyDescent="0.2">
      <c r="A137" s="23" t="s">
        <v>209</v>
      </c>
      <c r="B137" s="16">
        <v>2520</v>
      </c>
      <c r="C137" s="16">
        <v>-5.952</v>
      </c>
      <c r="D137" s="16">
        <v>4555.2209999999995</v>
      </c>
      <c r="E137" s="16">
        <v>991.37400000000002</v>
      </c>
      <c r="F137" s="16">
        <v>123.084</v>
      </c>
      <c r="G137" s="16">
        <v>5.9429999999999996</v>
      </c>
      <c r="H137" s="16">
        <v>4557.9639999999999</v>
      </c>
      <c r="I137" s="16">
        <v>1002.949</v>
      </c>
      <c r="J137" s="16">
        <v>123.092</v>
      </c>
    </row>
    <row r="138" spans="1:10" x14ac:dyDescent="0.2">
      <c r="A138" s="23" t="s">
        <v>210</v>
      </c>
      <c r="B138" s="16">
        <v>2540</v>
      </c>
      <c r="C138" s="16">
        <v>-6.0220000000000002</v>
      </c>
      <c r="D138" s="16">
        <v>4535.7439999999997</v>
      </c>
      <c r="E138" s="16">
        <v>995.91700000000003</v>
      </c>
      <c r="F138" s="16">
        <v>123.10899999999999</v>
      </c>
      <c r="G138" s="16">
        <v>6.0129999999999999</v>
      </c>
      <c r="H138" s="16">
        <v>4538.518</v>
      </c>
      <c r="I138" s="16">
        <v>1007.627</v>
      </c>
      <c r="J138" s="16">
        <v>123.11799999999999</v>
      </c>
    </row>
    <row r="139" spans="1:10" x14ac:dyDescent="0.2">
      <c r="A139" s="23" t="s">
        <v>211</v>
      </c>
      <c r="B139" s="16">
        <v>2560</v>
      </c>
      <c r="C139" s="16">
        <v>-6.0810000000000004</v>
      </c>
      <c r="D139" s="16">
        <v>4516.2690000000002</v>
      </c>
      <c r="E139" s="16">
        <v>1000.471</v>
      </c>
      <c r="F139" s="16">
        <v>123.13500000000001</v>
      </c>
      <c r="G139" s="16">
        <v>6.0720000000000001</v>
      </c>
      <c r="H139" s="16">
        <v>4519.0709999999999</v>
      </c>
      <c r="I139" s="16">
        <v>1012.296</v>
      </c>
      <c r="J139" s="16">
        <v>123.14400000000001</v>
      </c>
    </row>
    <row r="140" spans="1:10" x14ac:dyDescent="0.2">
      <c r="A140" s="23" t="s">
        <v>212</v>
      </c>
      <c r="B140" s="16">
        <v>2580</v>
      </c>
      <c r="C140" s="16">
        <v>-6.13</v>
      </c>
      <c r="D140" s="16">
        <v>4496.7960000000003</v>
      </c>
      <c r="E140" s="16">
        <v>1005.034</v>
      </c>
      <c r="F140" s="16">
        <v>123.161</v>
      </c>
      <c r="G140" s="16">
        <v>6.1210000000000004</v>
      </c>
      <c r="H140" s="16">
        <v>4499.6210000000001</v>
      </c>
      <c r="I140" s="16">
        <v>1016.955</v>
      </c>
      <c r="J140" s="16">
        <v>123.17</v>
      </c>
    </row>
    <row r="141" spans="1:10" x14ac:dyDescent="0.2">
      <c r="A141" s="23" t="s">
        <v>213</v>
      </c>
      <c r="B141" s="16">
        <v>2600</v>
      </c>
      <c r="C141" s="16">
        <v>-6.1689999999999996</v>
      </c>
      <c r="D141" s="16">
        <v>4477.326</v>
      </c>
      <c r="E141" s="16">
        <v>1009.607</v>
      </c>
      <c r="F141" s="16">
        <v>123.18600000000001</v>
      </c>
      <c r="G141" s="16">
        <v>6.16</v>
      </c>
      <c r="H141" s="16">
        <v>4480.1689999999999</v>
      </c>
      <c r="I141" s="16">
        <v>1021.604</v>
      </c>
      <c r="J141" s="16">
        <v>123.19499999999999</v>
      </c>
    </row>
    <row r="142" spans="1:10" x14ac:dyDescent="0.2">
      <c r="A142" s="23" t="s">
        <v>214</v>
      </c>
      <c r="B142" s="16">
        <v>2620</v>
      </c>
      <c r="C142" s="16">
        <v>-6.1989999999999998</v>
      </c>
      <c r="D142" s="16">
        <v>4457.8580000000002</v>
      </c>
      <c r="E142" s="16">
        <v>1014.19</v>
      </c>
      <c r="F142" s="16">
        <v>123.212</v>
      </c>
      <c r="G142" s="16">
        <v>6.1890000000000001</v>
      </c>
      <c r="H142" s="16">
        <v>4460.7139999999999</v>
      </c>
      <c r="I142" s="16">
        <v>1026.2439999999999</v>
      </c>
      <c r="J142" s="16">
        <v>123.221</v>
      </c>
    </row>
    <row r="143" spans="1:10" x14ac:dyDescent="0.2">
      <c r="A143" s="23" t="s">
        <v>215</v>
      </c>
      <c r="B143" s="16">
        <v>2640</v>
      </c>
      <c r="C143" s="16">
        <v>-6.2229999999999999</v>
      </c>
      <c r="D143" s="16">
        <v>4438.3909999999996</v>
      </c>
      <c r="E143" s="16">
        <v>1018.777</v>
      </c>
      <c r="F143" s="16">
        <v>123.232</v>
      </c>
      <c r="G143" s="16">
        <v>6.2119999999999997</v>
      </c>
      <c r="H143" s="16">
        <v>4441.2579999999998</v>
      </c>
      <c r="I143" s="16">
        <v>1030.877</v>
      </c>
      <c r="J143" s="16">
        <v>123.24299999999999</v>
      </c>
    </row>
    <row r="144" spans="1:10" x14ac:dyDescent="0.2">
      <c r="A144" s="23" t="s">
        <v>216</v>
      </c>
      <c r="B144" s="16">
        <v>2660</v>
      </c>
      <c r="C144" s="16">
        <v>-6.2409999999999997</v>
      </c>
      <c r="D144" s="16">
        <v>4418.9260000000004</v>
      </c>
      <c r="E144" s="16">
        <v>1023.37</v>
      </c>
      <c r="F144" s="16">
        <v>123.249</v>
      </c>
      <c r="G144" s="16">
        <v>6.23</v>
      </c>
      <c r="H144" s="16">
        <v>4421.8010000000004</v>
      </c>
      <c r="I144" s="16">
        <v>1035.5060000000001</v>
      </c>
      <c r="J144" s="16">
        <v>123.26</v>
      </c>
    </row>
    <row r="145" spans="1:10" x14ac:dyDescent="0.2">
      <c r="A145" s="23" t="s">
        <v>217</v>
      </c>
      <c r="B145" s="16">
        <v>2680</v>
      </c>
      <c r="C145" s="16">
        <v>-6.2489999999999997</v>
      </c>
      <c r="D145" s="16">
        <v>4399.4629999999997</v>
      </c>
      <c r="E145" s="16">
        <v>1027.9739999999999</v>
      </c>
      <c r="F145" s="16">
        <v>123.26600000000001</v>
      </c>
      <c r="G145" s="16">
        <v>6.2380000000000004</v>
      </c>
      <c r="H145" s="16">
        <v>4402.3419999999996</v>
      </c>
      <c r="I145" s="16">
        <v>1040.124</v>
      </c>
      <c r="J145" s="16">
        <v>123.277</v>
      </c>
    </row>
    <row r="146" spans="1:10" x14ac:dyDescent="0.2">
      <c r="A146" s="23" t="s">
        <v>218</v>
      </c>
      <c r="B146" s="16">
        <v>2700</v>
      </c>
      <c r="C146" s="16">
        <v>-6.2469999999999999</v>
      </c>
      <c r="D146" s="16">
        <v>4380.0020000000004</v>
      </c>
      <c r="E146" s="16">
        <v>1032.587</v>
      </c>
      <c r="F146" s="16">
        <v>123.283</v>
      </c>
      <c r="G146" s="16">
        <v>6.2359999999999998</v>
      </c>
      <c r="H146" s="16">
        <v>4382.88</v>
      </c>
      <c r="I146" s="16">
        <v>1044.7339999999999</v>
      </c>
      <c r="J146" s="16">
        <v>123.294</v>
      </c>
    </row>
    <row r="147" spans="1:10" x14ac:dyDescent="0.2">
      <c r="A147" s="23" t="s">
        <v>219</v>
      </c>
      <c r="B147" s="16">
        <v>2720</v>
      </c>
      <c r="C147" s="16">
        <v>-6.2350000000000003</v>
      </c>
      <c r="D147" s="16">
        <v>4360.5439999999999</v>
      </c>
      <c r="E147" s="16">
        <v>1037.2090000000001</v>
      </c>
      <c r="F147" s="16">
        <v>123.3</v>
      </c>
      <c r="G147" s="16">
        <v>6.2240000000000002</v>
      </c>
      <c r="H147" s="16">
        <v>4363.4160000000002</v>
      </c>
      <c r="I147" s="16">
        <v>1049.3330000000001</v>
      </c>
      <c r="J147" s="16">
        <v>123.31100000000001</v>
      </c>
    </row>
    <row r="148" spans="1:10" x14ac:dyDescent="0.2">
      <c r="A148" s="23" t="s">
        <v>220</v>
      </c>
      <c r="B148" s="16">
        <v>2740</v>
      </c>
      <c r="C148" s="16">
        <v>-6.2130000000000001</v>
      </c>
      <c r="D148" s="16">
        <v>4341.0879999999997</v>
      </c>
      <c r="E148" s="16">
        <v>1041.8420000000001</v>
      </c>
      <c r="F148" s="16">
        <v>123.31699999999999</v>
      </c>
      <c r="G148" s="16">
        <v>6.202</v>
      </c>
      <c r="H148" s="16">
        <v>4343.95</v>
      </c>
      <c r="I148" s="16">
        <v>1053.923</v>
      </c>
      <c r="J148" s="16">
        <v>123.328</v>
      </c>
    </row>
    <row r="149" spans="1:10" x14ac:dyDescent="0.2">
      <c r="A149" s="23" t="s">
        <v>221</v>
      </c>
      <c r="B149" s="16">
        <v>2760</v>
      </c>
      <c r="C149" s="16">
        <v>-6.181</v>
      </c>
      <c r="D149" s="16">
        <v>4321.634</v>
      </c>
      <c r="E149" s="16">
        <v>1046.4839999999999</v>
      </c>
      <c r="F149" s="16">
        <v>123.334</v>
      </c>
      <c r="G149" s="16">
        <v>6.17</v>
      </c>
      <c r="H149" s="16">
        <v>4324.482</v>
      </c>
      <c r="I149" s="16">
        <v>1058.5029999999999</v>
      </c>
      <c r="J149" s="16">
        <v>123.345</v>
      </c>
    </row>
    <row r="150" spans="1:10" x14ac:dyDescent="0.2">
      <c r="A150" s="23" t="s">
        <v>222</v>
      </c>
      <c r="B150" s="16">
        <v>2780</v>
      </c>
      <c r="C150" s="16">
        <v>-6.1390000000000002</v>
      </c>
      <c r="D150" s="16">
        <v>4302.1819999999998</v>
      </c>
      <c r="E150" s="16">
        <v>1051.136</v>
      </c>
      <c r="F150" s="16">
        <v>123.351</v>
      </c>
      <c r="G150" s="16">
        <v>6.1280000000000001</v>
      </c>
      <c r="H150" s="16">
        <v>4305.0110000000004</v>
      </c>
      <c r="I150" s="16">
        <v>1063.0730000000001</v>
      </c>
      <c r="J150" s="16">
        <v>123.36199999999999</v>
      </c>
    </row>
    <row r="151" spans="1:10" x14ac:dyDescent="0.2">
      <c r="A151" s="23" t="s">
        <v>223</v>
      </c>
      <c r="B151" s="16">
        <v>2800</v>
      </c>
      <c r="C151" s="16">
        <v>-6.0869999999999997</v>
      </c>
      <c r="D151" s="16">
        <v>4282.7330000000002</v>
      </c>
      <c r="E151" s="16">
        <v>1055.798</v>
      </c>
      <c r="F151" s="16">
        <v>123.36799999999999</v>
      </c>
      <c r="G151" s="16">
        <v>6.0759999999999996</v>
      </c>
      <c r="H151" s="16">
        <v>4285.5379999999996</v>
      </c>
      <c r="I151" s="16">
        <v>1067.633</v>
      </c>
      <c r="J151" s="16">
        <v>123.379</v>
      </c>
    </row>
    <row r="152" spans="1:10" x14ac:dyDescent="0.2">
      <c r="A152" s="23" t="s">
        <v>224</v>
      </c>
      <c r="B152" s="16">
        <v>2820</v>
      </c>
      <c r="C152" s="16">
        <v>-6.0250000000000004</v>
      </c>
      <c r="D152" s="16">
        <v>4263.2860000000001</v>
      </c>
      <c r="E152" s="16">
        <v>1060.47</v>
      </c>
      <c r="F152" s="16">
        <v>123.38500000000001</v>
      </c>
      <c r="G152" s="16">
        <v>6.0140000000000002</v>
      </c>
      <c r="H152" s="16">
        <v>4266.0619999999999</v>
      </c>
      <c r="I152" s="16">
        <v>1072.184</v>
      </c>
      <c r="J152" s="16">
        <v>123.396</v>
      </c>
    </row>
    <row r="153" spans="1:10" x14ac:dyDescent="0.2">
      <c r="A153" s="23" t="s">
        <v>225</v>
      </c>
      <c r="B153" s="16">
        <v>2840</v>
      </c>
      <c r="C153" s="16">
        <v>-5.9530000000000003</v>
      </c>
      <c r="D153" s="16">
        <v>4243.8419999999996</v>
      </c>
      <c r="E153" s="16">
        <v>1065.1510000000001</v>
      </c>
      <c r="F153" s="16">
        <v>123.402</v>
      </c>
      <c r="G153" s="16">
        <v>5.9420000000000002</v>
      </c>
      <c r="H153" s="16">
        <v>4246.5839999999998</v>
      </c>
      <c r="I153" s="16">
        <v>1076.7249999999999</v>
      </c>
      <c r="J153" s="16">
        <v>123.413</v>
      </c>
    </row>
    <row r="154" spans="1:10" x14ac:dyDescent="0.2">
      <c r="A154" s="23" t="s">
        <v>226</v>
      </c>
      <c r="B154" s="16">
        <v>2849.9749999999999</v>
      </c>
      <c r="C154" s="16">
        <v>-5.9130000000000003</v>
      </c>
      <c r="D154" s="16">
        <v>4234.1450000000004</v>
      </c>
      <c r="E154" s="16">
        <v>1067.489</v>
      </c>
      <c r="F154" s="16">
        <v>123.411</v>
      </c>
      <c r="G154" s="16">
        <v>5.9029999999999996</v>
      </c>
      <c r="H154" s="16">
        <v>4236.8689999999997</v>
      </c>
      <c r="I154" s="16">
        <v>1078.9860000000001</v>
      </c>
      <c r="J154" s="16">
        <v>123.42100000000001</v>
      </c>
    </row>
    <row r="155" spans="1:10" x14ac:dyDescent="0.2">
      <c r="A155" s="23" t="s">
        <v>227</v>
      </c>
      <c r="B155" s="16">
        <v>2860</v>
      </c>
      <c r="C155" s="16">
        <v>-5.87</v>
      </c>
      <c r="D155" s="16">
        <v>4224.3999999999996</v>
      </c>
      <c r="E155" s="16">
        <v>1069.8420000000001</v>
      </c>
      <c r="F155" s="16">
        <v>123.419</v>
      </c>
      <c r="G155" s="16">
        <v>5.86</v>
      </c>
      <c r="H155" s="16">
        <v>4227.1040000000003</v>
      </c>
      <c r="I155" s="16">
        <v>1081.2560000000001</v>
      </c>
      <c r="J155" s="16">
        <v>123.43</v>
      </c>
    </row>
    <row r="156" spans="1:10" x14ac:dyDescent="0.2">
      <c r="A156" s="23" t="s">
        <v>228</v>
      </c>
      <c r="B156" s="16">
        <v>2880</v>
      </c>
      <c r="C156" s="16">
        <v>-5.7779999999999996</v>
      </c>
      <c r="D156" s="16">
        <v>4204.9620000000004</v>
      </c>
      <c r="E156" s="16">
        <v>1074.5340000000001</v>
      </c>
      <c r="F156" s="16">
        <v>123.43600000000001</v>
      </c>
      <c r="G156" s="16">
        <v>5.7679999999999998</v>
      </c>
      <c r="H156" s="16">
        <v>4207.6149999999998</v>
      </c>
      <c r="I156" s="16">
        <v>1085.771</v>
      </c>
      <c r="J156" s="16">
        <v>123.446</v>
      </c>
    </row>
    <row r="157" spans="1:10" x14ac:dyDescent="0.2">
      <c r="A157" s="23" t="s">
        <v>229</v>
      </c>
      <c r="B157" s="16">
        <v>2900</v>
      </c>
      <c r="C157" s="16">
        <v>-5.6760000000000002</v>
      </c>
      <c r="D157" s="16">
        <v>4185.5259999999998</v>
      </c>
      <c r="E157" s="16">
        <v>1079.2139999999999</v>
      </c>
      <c r="F157" s="16">
        <v>123.453</v>
      </c>
      <c r="G157" s="16">
        <v>5.6660000000000004</v>
      </c>
      <c r="H157" s="16">
        <v>4188.116</v>
      </c>
      <c r="I157" s="16">
        <v>1090.2570000000001</v>
      </c>
      <c r="J157" s="16">
        <v>123.46299999999999</v>
      </c>
    </row>
    <row r="158" spans="1:10" x14ac:dyDescent="0.2">
      <c r="A158" s="23" t="s">
        <v>230</v>
      </c>
      <c r="B158" s="16">
        <v>2920</v>
      </c>
      <c r="C158" s="16">
        <v>-5.5640000000000001</v>
      </c>
      <c r="D158" s="16">
        <v>4166.0870000000004</v>
      </c>
      <c r="E158" s="16">
        <v>1083.8689999999999</v>
      </c>
      <c r="F158" s="16">
        <v>123.47</v>
      </c>
      <c r="G158" s="16">
        <v>5.5540000000000003</v>
      </c>
      <c r="H158" s="16">
        <v>4168.6030000000001</v>
      </c>
      <c r="I158" s="16">
        <v>1094.6990000000001</v>
      </c>
      <c r="J158" s="16">
        <v>123.48</v>
      </c>
    </row>
    <row r="159" spans="1:10" x14ac:dyDescent="0.2">
      <c r="A159" s="23" t="s">
        <v>231</v>
      </c>
      <c r="B159" s="16">
        <v>2940</v>
      </c>
      <c r="C159" s="16">
        <v>-5.4420000000000002</v>
      </c>
      <c r="D159" s="16">
        <v>4146.6419999999998</v>
      </c>
      <c r="E159" s="16">
        <v>1088.4839999999999</v>
      </c>
      <c r="F159" s="16">
        <v>123.48699999999999</v>
      </c>
      <c r="G159" s="16">
        <v>5.4329999999999998</v>
      </c>
      <c r="H159" s="16">
        <v>4149.0730000000003</v>
      </c>
      <c r="I159" s="16">
        <v>1099.0830000000001</v>
      </c>
      <c r="J159" s="16">
        <v>123.497</v>
      </c>
    </row>
    <row r="160" spans="1:10" x14ac:dyDescent="0.2">
      <c r="A160" s="23" t="s">
        <v>232</v>
      </c>
      <c r="B160" s="16">
        <v>2960</v>
      </c>
      <c r="C160" s="16">
        <v>-5.31</v>
      </c>
      <c r="D160" s="16">
        <v>4127.1890000000003</v>
      </c>
      <c r="E160" s="16">
        <v>1093.0450000000001</v>
      </c>
      <c r="F160" s="16">
        <v>123.504</v>
      </c>
      <c r="G160" s="16">
        <v>5.3010000000000002</v>
      </c>
      <c r="H160" s="16">
        <v>4129.5240000000003</v>
      </c>
      <c r="I160" s="16">
        <v>1103.396</v>
      </c>
      <c r="J160" s="16">
        <v>123.514</v>
      </c>
    </row>
    <row r="161" spans="1:10" x14ac:dyDescent="0.2">
      <c r="A161" s="23" t="s">
        <v>233</v>
      </c>
      <c r="B161" s="16">
        <v>2980</v>
      </c>
      <c r="C161" s="16">
        <v>-5.1680000000000001</v>
      </c>
      <c r="D161" s="16">
        <v>4107.723</v>
      </c>
      <c r="E161" s="16">
        <v>1097.54</v>
      </c>
      <c r="F161" s="16">
        <v>123.521</v>
      </c>
      <c r="G161" s="16">
        <v>5.1589999999999998</v>
      </c>
      <c r="H161" s="16">
        <v>4109.9530000000004</v>
      </c>
      <c r="I161" s="16">
        <v>1107.624</v>
      </c>
      <c r="J161" s="16">
        <v>123.53</v>
      </c>
    </row>
    <row r="162" spans="1:10" x14ac:dyDescent="0.2">
      <c r="A162" s="23" t="s">
        <v>234</v>
      </c>
      <c r="B162" s="16">
        <v>3000</v>
      </c>
      <c r="C162" s="16">
        <v>-5.016</v>
      </c>
      <c r="D162" s="16">
        <v>4088.241</v>
      </c>
      <c r="E162" s="16">
        <v>1101.954</v>
      </c>
      <c r="F162" s="16">
        <v>123.538</v>
      </c>
      <c r="G162" s="16">
        <v>5.0069999999999997</v>
      </c>
      <c r="H162" s="16">
        <v>4090.357</v>
      </c>
      <c r="I162" s="16">
        <v>1111.752</v>
      </c>
      <c r="J162" s="16">
        <v>123.547</v>
      </c>
    </row>
    <row r="163" spans="1:10" x14ac:dyDescent="0.2">
      <c r="A163" s="23" t="s">
        <v>235</v>
      </c>
      <c r="B163" s="16">
        <v>3020</v>
      </c>
      <c r="C163" s="16">
        <v>-4.8550000000000004</v>
      </c>
      <c r="D163" s="16">
        <v>4068.741</v>
      </c>
      <c r="E163" s="16">
        <v>1106.2719999999999</v>
      </c>
      <c r="F163" s="16">
        <v>123.554</v>
      </c>
      <c r="G163" s="16">
        <v>4.8460000000000001</v>
      </c>
      <c r="H163" s="16">
        <v>4070.7339999999999</v>
      </c>
      <c r="I163" s="16">
        <v>1115.7660000000001</v>
      </c>
      <c r="J163" s="16">
        <v>123.563</v>
      </c>
    </row>
    <row r="164" spans="1:10" x14ac:dyDescent="0.2">
      <c r="A164" s="23" t="s">
        <v>236</v>
      </c>
      <c r="B164" s="16">
        <v>3040</v>
      </c>
      <c r="C164" s="16">
        <v>-4.6890000000000001</v>
      </c>
      <c r="D164" s="16">
        <v>4049.2190000000001</v>
      </c>
      <c r="E164" s="16">
        <v>1110.4760000000001</v>
      </c>
      <c r="F164" s="16">
        <v>123.571</v>
      </c>
      <c r="G164" s="16">
        <v>4.681</v>
      </c>
      <c r="H164" s="16">
        <v>4051.085</v>
      </c>
      <c r="I164" s="16">
        <v>1119.6579999999999</v>
      </c>
      <c r="J164" s="16">
        <v>123.58</v>
      </c>
    </row>
    <row r="165" spans="1:10" x14ac:dyDescent="0.2">
      <c r="A165" s="23" t="s">
        <v>237</v>
      </c>
      <c r="B165" s="16">
        <v>3060</v>
      </c>
      <c r="C165" s="16">
        <v>-4.524</v>
      </c>
      <c r="D165" s="16">
        <v>4029.67</v>
      </c>
      <c r="E165" s="16">
        <v>1114.548</v>
      </c>
      <c r="F165" s="16">
        <v>123.58799999999999</v>
      </c>
      <c r="G165" s="16">
        <v>4.516</v>
      </c>
      <c r="H165" s="16">
        <v>4031.4079999999999</v>
      </c>
      <c r="I165" s="16">
        <v>1123.4190000000001</v>
      </c>
      <c r="J165" s="16">
        <v>123.596</v>
      </c>
    </row>
    <row r="166" spans="1:10" x14ac:dyDescent="0.2">
      <c r="A166" s="23" t="s">
        <v>238</v>
      </c>
      <c r="B166" s="16">
        <v>3080</v>
      </c>
      <c r="C166" s="16">
        <v>-4.359</v>
      </c>
      <c r="D166" s="16">
        <v>4010.0940000000001</v>
      </c>
      <c r="E166" s="16">
        <v>1118.472</v>
      </c>
      <c r="F166" s="16">
        <v>123.604</v>
      </c>
      <c r="G166" s="16">
        <v>4.351</v>
      </c>
      <c r="H166" s="16">
        <v>4011.701</v>
      </c>
      <c r="I166" s="16">
        <v>1127.0319999999999</v>
      </c>
      <c r="J166" s="16">
        <v>123.61199999999999</v>
      </c>
    </row>
    <row r="167" spans="1:10" x14ac:dyDescent="0.2">
      <c r="A167" s="23" t="s">
        <v>239</v>
      </c>
      <c r="B167" s="16">
        <v>3100</v>
      </c>
      <c r="C167" s="16">
        <v>-4.194</v>
      </c>
      <c r="D167" s="16">
        <v>3990.4879999999998</v>
      </c>
      <c r="E167" s="16">
        <v>1122.2360000000001</v>
      </c>
      <c r="F167" s="16">
        <v>123.62</v>
      </c>
      <c r="G167" s="16">
        <v>4.1859999999999999</v>
      </c>
      <c r="H167" s="16">
        <v>3991.9639999999999</v>
      </c>
      <c r="I167" s="16">
        <v>1130.4849999999999</v>
      </c>
      <c r="J167" s="16">
        <v>123.628</v>
      </c>
    </row>
    <row r="168" spans="1:10" x14ac:dyDescent="0.2">
      <c r="A168" s="23" t="s">
        <v>240</v>
      </c>
      <c r="B168" s="16">
        <v>3120</v>
      </c>
      <c r="C168" s="16">
        <v>-4.2709999999999999</v>
      </c>
      <c r="D168" s="16">
        <v>3970.81</v>
      </c>
      <c r="E168" s="16">
        <v>1125.587</v>
      </c>
      <c r="F168" s="16">
        <v>123.636</v>
      </c>
      <c r="G168" s="16">
        <v>4.2789999999999999</v>
      </c>
      <c r="H168" s="16">
        <v>3972.2379999999998</v>
      </c>
      <c r="I168" s="16">
        <v>1134.0170000000001</v>
      </c>
      <c r="J168" s="16">
        <v>123.64400000000001</v>
      </c>
    </row>
    <row r="169" spans="1:10" x14ac:dyDescent="0.2">
      <c r="A169" s="23" t="s">
        <v>241</v>
      </c>
      <c r="B169" s="16">
        <v>3140</v>
      </c>
      <c r="C169" s="16">
        <v>-4.4359999999999999</v>
      </c>
      <c r="D169" s="16">
        <v>3951.0909999999999</v>
      </c>
      <c r="E169" s="16">
        <v>1128.6610000000001</v>
      </c>
      <c r="F169" s="16">
        <v>123.651</v>
      </c>
      <c r="G169" s="16">
        <v>4.444</v>
      </c>
      <c r="H169" s="16">
        <v>3952.4870000000001</v>
      </c>
      <c r="I169" s="16">
        <v>1137.43</v>
      </c>
      <c r="J169" s="16">
        <v>123.66</v>
      </c>
    </row>
    <row r="170" spans="1:10" x14ac:dyDescent="0.2">
      <c r="A170" s="23" t="s">
        <v>242</v>
      </c>
      <c r="B170" s="16">
        <v>3160</v>
      </c>
      <c r="C170" s="16">
        <v>-4.5999999999999996</v>
      </c>
      <c r="D170" s="16">
        <v>3931.346</v>
      </c>
      <c r="E170" s="16">
        <v>1131.5319999999999</v>
      </c>
      <c r="F170" s="16">
        <v>123.667</v>
      </c>
      <c r="G170" s="16">
        <v>4.6079999999999997</v>
      </c>
      <c r="H170" s="16">
        <v>3932.6970000000001</v>
      </c>
      <c r="I170" s="16">
        <v>1140.6400000000001</v>
      </c>
      <c r="J170" s="16">
        <v>123.675</v>
      </c>
    </row>
    <row r="171" spans="1:10" x14ac:dyDescent="0.2">
      <c r="A171" s="23" t="s">
        <v>243</v>
      </c>
      <c r="B171" s="16">
        <v>3180</v>
      </c>
      <c r="C171" s="16">
        <v>-4.7469999999999999</v>
      </c>
      <c r="D171" s="16">
        <v>3911.578</v>
      </c>
      <c r="E171" s="16">
        <v>1134.201</v>
      </c>
      <c r="F171" s="16">
        <v>123.66800000000001</v>
      </c>
      <c r="G171" s="16">
        <v>4.742</v>
      </c>
      <c r="H171" s="16">
        <v>3912.8629999999998</v>
      </c>
      <c r="I171" s="16">
        <v>1143.6030000000001</v>
      </c>
      <c r="J171" s="16">
        <v>123.664</v>
      </c>
    </row>
    <row r="172" spans="1:10" x14ac:dyDescent="0.2">
      <c r="A172" s="23" t="s">
        <v>244</v>
      </c>
      <c r="B172" s="16">
        <v>3200</v>
      </c>
      <c r="C172" s="16">
        <v>-4.875</v>
      </c>
      <c r="D172" s="16">
        <v>3891.788</v>
      </c>
      <c r="E172" s="16">
        <v>1136.6559999999999</v>
      </c>
      <c r="F172" s="16">
        <v>123.65600000000001</v>
      </c>
      <c r="G172" s="16">
        <v>4.87</v>
      </c>
      <c r="H172" s="16">
        <v>3892.991</v>
      </c>
      <c r="I172" s="16">
        <v>1146.327</v>
      </c>
      <c r="J172" s="16">
        <v>123.651</v>
      </c>
    </row>
    <row r="173" spans="1:10" x14ac:dyDescent="0.2">
      <c r="A173" s="23" t="s">
        <v>245</v>
      </c>
      <c r="B173" s="16">
        <v>3220</v>
      </c>
      <c r="C173" s="16">
        <v>-4.9969999999999999</v>
      </c>
      <c r="D173" s="16">
        <v>3871.9740000000002</v>
      </c>
      <c r="E173" s="16">
        <v>1138.8699999999999</v>
      </c>
      <c r="F173" s="16">
        <v>123.64400000000001</v>
      </c>
      <c r="G173" s="16">
        <v>4.9930000000000003</v>
      </c>
      <c r="H173" s="16">
        <v>3873.08</v>
      </c>
      <c r="I173" s="16">
        <v>1148.798</v>
      </c>
      <c r="J173" s="16">
        <v>123.639</v>
      </c>
    </row>
    <row r="174" spans="1:10" x14ac:dyDescent="0.2">
      <c r="A174" s="23" t="s">
        <v>246</v>
      </c>
      <c r="B174" s="16">
        <v>3224.9749999999999</v>
      </c>
      <c r="C174" s="16">
        <v>-5.0270000000000001</v>
      </c>
      <c r="D174" s="16">
        <v>3867.0419999999999</v>
      </c>
      <c r="E174" s="16">
        <v>1139.3810000000001</v>
      </c>
      <c r="F174" s="16">
        <v>123.64100000000001</v>
      </c>
      <c r="G174" s="16">
        <v>5.0220000000000002</v>
      </c>
      <c r="H174" s="16">
        <v>3868.1219999999998</v>
      </c>
      <c r="I174" s="16">
        <v>1149.3720000000001</v>
      </c>
      <c r="J174" s="16">
        <v>123.636</v>
      </c>
    </row>
    <row r="175" spans="1:10" x14ac:dyDescent="0.2">
      <c r="A175" s="23" t="s">
        <v>247</v>
      </c>
      <c r="B175" s="16">
        <v>3240</v>
      </c>
      <c r="C175" s="16">
        <v>-5.1139999999999999</v>
      </c>
      <c r="D175" s="16">
        <v>3852.1379999999999</v>
      </c>
      <c r="E175" s="16">
        <v>1140.829</v>
      </c>
      <c r="F175" s="16">
        <v>123.63200000000001</v>
      </c>
      <c r="G175" s="16">
        <v>5.109</v>
      </c>
      <c r="H175" s="16">
        <v>3853.134</v>
      </c>
      <c r="I175" s="16">
        <v>1151.0029999999999</v>
      </c>
      <c r="J175" s="16">
        <v>123.628</v>
      </c>
    </row>
    <row r="176" spans="1:10" x14ac:dyDescent="0.2">
      <c r="A176" s="23" t="s">
        <v>248</v>
      </c>
      <c r="B176" s="16">
        <v>3260</v>
      </c>
      <c r="C176" s="16">
        <v>-5.2249999999999996</v>
      </c>
      <c r="D176" s="16">
        <v>3832.279</v>
      </c>
      <c r="E176" s="16">
        <v>1142.528</v>
      </c>
      <c r="F176" s="16">
        <v>123.621</v>
      </c>
      <c r="G176" s="16">
        <v>5.22</v>
      </c>
      <c r="H176" s="16">
        <v>3833.1590000000001</v>
      </c>
      <c r="I176" s="16">
        <v>1152.9369999999999</v>
      </c>
      <c r="J176" s="16">
        <v>123.616</v>
      </c>
    </row>
    <row r="177" spans="1:10" x14ac:dyDescent="0.2">
      <c r="A177" s="23" t="s">
        <v>249</v>
      </c>
      <c r="B177" s="16">
        <v>3280</v>
      </c>
      <c r="C177" s="16">
        <v>-5.3310000000000004</v>
      </c>
      <c r="D177" s="16">
        <v>3812.4009999999998</v>
      </c>
      <c r="E177" s="16">
        <v>1143.9690000000001</v>
      </c>
      <c r="F177" s="16">
        <v>123.60899999999999</v>
      </c>
      <c r="G177" s="16">
        <v>5.3259999999999996</v>
      </c>
      <c r="H177" s="16">
        <v>3813.1570000000002</v>
      </c>
      <c r="I177" s="16">
        <v>1154.5989999999999</v>
      </c>
      <c r="J177" s="16">
        <v>123.604</v>
      </c>
    </row>
    <row r="178" spans="1:10" x14ac:dyDescent="0.2">
      <c r="A178" s="23" t="s">
        <v>250</v>
      </c>
      <c r="B178" s="16">
        <v>3300</v>
      </c>
      <c r="C178" s="16">
        <v>-5.431</v>
      </c>
      <c r="D178" s="16">
        <v>3792.5079999999998</v>
      </c>
      <c r="E178" s="16">
        <v>1145.1489999999999</v>
      </c>
      <c r="F178" s="16">
        <v>123.598</v>
      </c>
      <c r="G178" s="16">
        <v>5.4260000000000002</v>
      </c>
      <c r="H178" s="16">
        <v>3793.1329999999998</v>
      </c>
      <c r="I178" s="16">
        <v>1155.9880000000001</v>
      </c>
      <c r="J178" s="16">
        <v>123.593</v>
      </c>
    </row>
    <row r="179" spans="1:10" x14ac:dyDescent="0.2">
      <c r="A179" s="23" t="s">
        <v>251</v>
      </c>
      <c r="B179" s="16">
        <v>3320</v>
      </c>
      <c r="C179" s="16">
        <v>-5.5259999999999998</v>
      </c>
      <c r="D179" s="16">
        <v>3772.6019999999999</v>
      </c>
      <c r="E179" s="16">
        <v>1146.07</v>
      </c>
      <c r="F179" s="16">
        <v>123.587</v>
      </c>
      <c r="G179" s="16">
        <v>5.52</v>
      </c>
      <c r="H179" s="16">
        <v>3773.0909999999999</v>
      </c>
      <c r="I179" s="16">
        <v>1157.105</v>
      </c>
      <c r="J179" s="16">
        <v>123.581</v>
      </c>
    </row>
    <row r="180" spans="1:10" x14ac:dyDescent="0.2">
      <c r="A180" s="23" t="s">
        <v>252</v>
      </c>
      <c r="B180" s="16">
        <v>3340</v>
      </c>
      <c r="C180" s="16">
        <v>-5.6150000000000002</v>
      </c>
      <c r="D180" s="16">
        <v>3752.6880000000001</v>
      </c>
      <c r="E180" s="16">
        <v>1146.731</v>
      </c>
      <c r="F180" s="16">
        <v>123.57599999999999</v>
      </c>
      <c r="G180" s="16">
        <v>5.609</v>
      </c>
      <c r="H180" s="16">
        <v>3753.0349999999999</v>
      </c>
      <c r="I180" s="16">
        <v>1157.9490000000001</v>
      </c>
      <c r="J180" s="16">
        <v>123.57</v>
      </c>
    </row>
    <row r="181" spans="1:10" x14ac:dyDescent="0.2">
      <c r="A181" s="23" t="s">
        <v>253</v>
      </c>
      <c r="B181" s="16">
        <v>3360</v>
      </c>
      <c r="C181" s="16">
        <v>-5.6980000000000004</v>
      </c>
      <c r="D181" s="16">
        <v>3732.7669999999998</v>
      </c>
      <c r="E181" s="16">
        <v>1147.1310000000001</v>
      </c>
      <c r="F181" s="16">
        <v>123.565</v>
      </c>
      <c r="G181" s="16">
        <v>5.6920000000000002</v>
      </c>
      <c r="H181" s="16">
        <v>3732.9679999999998</v>
      </c>
      <c r="I181" s="16">
        <v>1158.52</v>
      </c>
      <c r="J181" s="16">
        <v>123.559</v>
      </c>
    </row>
    <row r="182" spans="1:10" x14ac:dyDescent="0.2">
      <c r="A182" s="23" t="s">
        <v>254</v>
      </c>
      <c r="B182" s="16">
        <v>3380</v>
      </c>
      <c r="C182" s="16">
        <v>-5.7759999999999998</v>
      </c>
      <c r="D182" s="16">
        <v>3712.8440000000001</v>
      </c>
      <c r="E182" s="16">
        <v>1147.2719999999999</v>
      </c>
      <c r="F182" s="16">
        <v>123.554</v>
      </c>
      <c r="G182" s="16">
        <v>5.77</v>
      </c>
      <c r="H182" s="16">
        <v>3712.8939999999998</v>
      </c>
      <c r="I182" s="16">
        <v>1158.818</v>
      </c>
      <c r="J182" s="16">
        <v>123.548</v>
      </c>
    </row>
    <row r="183" spans="1:10" x14ac:dyDescent="0.2">
      <c r="A183" s="23" t="s">
        <v>255</v>
      </c>
      <c r="B183" s="16">
        <v>3400</v>
      </c>
      <c r="C183" s="16">
        <v>-5.8479999999999999</v>
      </c>
      <c r="D183" s="16">
        <v>3692.922</v>
      </c>
      <c r="E183" s="16">
        <v>1147.153</v>
      </c>
      <c r="F183" s="16">
        <v>123.54300000000001</v>
      </c>
      <c r="G183" s="16">
        <v>5.8419999999999996</v>
      </c>
      <c r="H183" s="16">
        <v>3692.8159999999998</v>
      </c>
      <c r="I183" s="16">
        <v>1158.8420000000001</v>
      </c>
      <c r="J183" s="16">
        <v>123.53700000000001</v>
      </c>
    </row>
    <row r="184" spans="1:10" x14ac:dyDescent="0.2">
      <c r="A184" s="23" t="s">
        <v>256</v>
      </c>
      <c r="B184" s="16">
        <v>3420</v>
      </c>
      <c r="C184" s="16">
        <v>-5.915</v>
      </c>
      <c r="D184" s="16">
        <v>3673.0039999999999</v>
      </c>
      <c r="E184" s="16">
        <v>1146.7729999999999</v>
      </c>
      <c r="F184" s="16">
        <v>123.533</v>
      </c>
      <c r="G184" s="16">
        <v>5.9080000000000004</v>
      </c>
      <c r="H184" s="16">
        <v>3672.739</v>
      </c>
      <c r="I184" s="16">
        <v>1158.5930000000001</v>
      </c>
      <c r="J184" s="16">
        <v>123.527</v>
      </c>
    </row>
    <row r="185" spans="1:10" x14ac:dyDescent="0.2">
      <c r="A185" s="23" t="s">
        <v>257</v>
      </c>
      <c r="B185" s="16">
        <v>3440</v>
      </c>
      <c r="C185" s="16">
        <v>-5.976</v>
      </c>
      <c r="D185" s="16">
        <v>3653.0929999999998</v>
      </c>
      <c r="E185" s="16">
        <v>1146.134</v>
      </c>
      <c r="F185" s="16">
        <v>123.523</v>
      </c>
      <c r="G185" s="16">
        <v>5.9690000000000003</v>
      </c>
      <c r="H185" s="16">
        <v>3652.6669999999999</v>
      </c>
      <c r="I185" s="16">
        <v>1158.0709999999999</v>
      </c>
      <c r="J185" s="16">
        <v>123.51600000000001</v>
      </c>
    </row>
    <row r="186" spans="1:10" x14ac:dyDescent="0.2">
      <c r="A186" s="23" t="s">
        <v>258</v>
      </c>
      <c r="B186" s="16">
        <v>3460</v>
      </c>
      <c r="C186" s="16">
        <v>-6.0309999999999997</v>
      </c>
      <c r="D186" s="16">
        <v>3633.194</v>
      </c>
      <c r="E186" s="16">
        <v>1145.2349999999999</v>
      </c>
      <c r="F186" s="16">
        <v>123.512</v>
      </c>
      <c r="G186" s="16">
        <v>6.0250000000000004</v>
      </c>
      <c r="H186" s="16">
        <v>3632.6030000000001</v>
      </c>
      <c r="I186" s="16">
        <v>1157.2760000000001</v>
      </c>
      <c r="J186" s="16">
        <v>123.506</v>
      </c>
    </row>
    <row r="187" spans="1:10" x14ac:dyDescent="0.2">
      <c r="A187" s="23" t="s">
        <v>259</v>
      </c>
      <c r="B187" s="16">
        <v>3480</v>
      </c>
      <c r="C187" s="16">
        <v>-6.0810000000000004</v>
      </c>
      <c r="D187" s="16">
        <v>3613.308</v>
      </c>
      <c r="E187" s="16">
        <v>1144.076</v>
      </c>
      <c r="F187" s="16">
        <v>123.502</v>
      </c>
      <c r="G187" s="16">
        <v>6.0750000000000002</v>
      </c>
      <c r="H187" s="16">
        <v>3612.5509999999999</v>
      </c>
      <c r="I187" s="16">
        <v>1156.2080000000001</v>
      </c>
      <c r="J187" s="16">
        <v>123.495</v>
      </c>
    </row>
    <row r="188" spans="1:10" x14ac:dyDescent="0.2">
      <c r="A188" s="23" t="s">
        <v>260</v>
      </c>
      <c r="B188" s="16">
        <v>3500</v>
      </c>
      <c r="C188" s="16">
        <v>-6.1260000000000003</v>
      </c>
      <c r="D188" s="16">
        <v>3593.44</v>
      </c>
      <c r="E188" s="16">
        <v>1142.6579999999999</v>
      </c>
      <c r="F188" s="16">
        <v>123.492</v>
      </c>
      <c r="G188" s="16">
        <v>6.1189999999999998</v>
      </c>
      <c r="H188" s="16">
        <v>3592.5140000000001</v>
      </c>
      <c r="I188" s="16">
        <v>1154.867</v>
      </c>
      <c r="J188" s="16">
        <v>123.485</v>
      </c>
    </row>
    <row r="189" spans="1:10" x14ac:dyDescent="0.2">
      <c r="A189" s="23" t="s">
        <v>261</v>
      </c>
      <c r="B189" s="16">
        <v>3520</v>
      </c>
      <c r="C189" s="16">
        <v>-6.1639999999999997</v>
      </c>
      <c r="D189" s="16">
        <v>3573.5929999999998</v>
      </c>
      <c r="E189" s="16">
        <v>1140.98</v>
      </c>
      <c r="F189" s="16">
        <v>123.482</v>
      </c>
      <c r="G189" s="16">
        <v>6.157</v>
      </c>
      <c r="H189" s="16">
        <v>3572.498</v>
      </c>
      <c r="I189" s="16">
        <v>1153.2529999999999</v>
      </c>
      <c r="J189" s="16">
        <v>123.47499999999999</v>
      </c>
    </row>
    <row r="190" spans="1:10" x14ac:dyDescent="0.2">
      <c r="A190" s="23" t="s">
        <v>262</v>
      </c>
      <c r="B190" s="16">
        <v>3540</v>
      </c>
      <c r="C190" s="16">
        <v>-6.1980000000000004</v>
      </c>
      <c r="D190" s="16">
        <v>3553.77</v>
      </c>
      <c r="E190" s="16">
        <v>1139.0440000000001</v>
      </c>
      <c r="F190" s="16">
        <v>123.473</v>
      </c>
      <c r="G190" s="16">
        <v>6.1909999999999998</v>
      </c>
      <c r="H190" s="16">
        <v>3552.5039999999999</v>
      </c>
      <c r="I190" s="16">
        <v>1151.367</v>
      </c>
      <c r="J190" s="16">
        <v>123.46599999999999</v>
      </c>
    </row>
    <row r="191" spans="1:10" x14ac:dyDescent="0.2">
      <c r="A191" s="23" t="s">
        <v>263</v>
      </c>
      <c r="B191" s="16">
        <v>3560</v>
      </c>
      <c r="C191" s="16">
        <v>-6.2249999999999996</v>
      </c>
      <c r="D191" s="16">
        <v>3533.9740000000002</v>
      </c>
      <c r="E191" s="16">
        <v>1136.8489999999999</v>
      </c>
      <c r="F191" s="16">
        <v>123.46299999999999</v>
      </c>
      <c r="G191" s="16">
        <v>6.218</v>
      </c>
      <c r="H191" s="16">
        <v>3532.538</v>
      </c>
      <c r="I191" s="16">
        <v>1149.2090000000001</v>
      </c>
      <c r="J191" s="16">
        <v>123.456</v>
      </c>
    </row>
    <row r="192" spans="1:10" x14ac:dyDescent="0.2">
      <c r="A192" s="23" t="s">
        <v>264</v>
      </c>
      <c r="B192" s="16">
        <v>3580</v>
      </c>
      <c r="C192" s="16">
        <v>-6.2469999999999999</v>
      </c>
      <c r="D192" s="16">
        <v>3514.2089999999998</v>
      </c>
      <c r="E192" s="16">
        <v>1134.396</v>
      </c>
      <c r="F192" s="16">
        <v>123.45399999999999</v>
      </c>
      <c r="G192" s="16">
        <v>6.24</v>
      </c>
      <c r="H192" s="16">
        <v>3512.6019999999999</v>
      </c>
      <c r="I192" s="16">
        <v>1146.78</v>
      </c>
      <c r="J192" s="16">
        <v>123.447</v>
      </c>
    </row>
    <row r="193" spans="1:10" x14ac:dyDescent="0.2">
      <c r="A193" s="23" t="s">
        <v>265</v>
      </c>
      <c r="B193" s="16">
        <v>3600</v>
      </c>
      <c r="C193" s="16">
        <v>-6.2640000000000002</v>
      </c>
      <c r="D193" s="16">
        <v>3494.4780000000001</v>
      </c>
      <c r="E193" s="16">
        <v>1131.6849999999999</v>
      </c>
      <c r="F193" s="16">
        <v>123.44499999999999</v>
      </c>
      <c r="G193" s="16">
        <v>6.2569999999999997</v>
      </c>
      <c r="H193" s="16">
        <v>3492.7020000000002</v>
      </c>
      <c r="I193" s="16">
        <v>1144.079</v>
      </c>
      <c r="J193" s="16">
        <v>123.437</v>
      </c>
    </row>
    <row r="194" spans="1:10" x14ac:dyDescent="0.2">
      <c r="A194" s="23" t="s">
        <v>266</v>
      </c>
      <c r="B194" s="16">
        <v>3620</v>
      </c>
      <c r="C194" s="16">
        <v>-6.2750000000000004</v>
      </c>
      <c r="D194" s="16">
        <v>3474.7840000000001</v>
      </c>
      <c r="E194" s="16">
        <v>1128.7170000000001</v>
      </c>
      <c r="F194" s="16">
        <v>123.43600000000001</v>
      </c>
      <c r="G194" s="16">
        <v>6.2670000000000003</v>
      </c>
      <c r="H194" s="16">
        <v>3472.8389999999999</v>
      </c>
      <c r="I194" s="16">
        <v>1141.1079999999999</v>
      </c>
      <c r="J194" s="16">
        <v>123.428</v>
      </c>
    </row>
    <row r="195" spans="1:10" x14ac:dyDescent="0.2">
      <c r="A195" s="23" t="s">
        <v>267</v>
      </c>
      <c r="B195" s="16">
        <v>3640</v>
      </c>
      <c r="C195" s="16">
        <v>-6.28</v>
      </c>
      <c r="D195" s="16">
        <v>3455.1309999999999</v>
      </c>
      <c r="E195" s="16">
        <v>1125.492</v>
      </c>
      <c r="F195" s="16">
        <v>123.42700000000001</v>
      </c>
      <c r="G195" s="16">
        <v>6.2729999999999997</v>
      </c>
      <c r="H195" s="16">
        <v>3453.0189999999998</v>
      </c>
      <c r="I195" s="16">
        <v>1137.866</v>
      </c>
      <c r="J195" s="16">
        <v>123.419</v>
      </c>
    </row>
    <row r="196" spans="1:10" x14ac:dyDescent="0.2">
      <c r="A196" s="23" t="s">
        <v>268</v>
      </c>
      <c r="B196" s="16">
        <v>3660</v>
      </c>
      <c r="C196" s="16">
        <v>-6.28</v>
      </c>
      <c r="D196" s="16">
        <v>3435.5219999999999</v>
      </c>
      <c r="E196" s="16">
        <v>1122.011</v>
      </c>
      <c r="F196" s="16">
        <v>123.41800000000001</v>
      </c>
      <c r="G196" s="16">
        <v>6.2729999999999997</v>
      </c>
      <c r="H196" s="16">
        <v>3433.2449999999999</v>
      </c>
      <c r="I196" s="16">
        <v>1134.356</v>
      </c>
      <c r="J196" s="16">
        <v>123.41</v>
      </c>
    </row>
    <row r="197" spans="1:10" x14ac:dyDescent="0.2">
      <c r="A197" s="23" t="s">
        <v>269</v>
      </c>
      <c r="B197" s="16">
        <v>3680</v>
      </c>
      <c r="C197" s="16">
        <v>-6.2750000000000004</v>
      </c>
      <c r="D197" s="16">
        <v>3415.9589999999998</v>
      </c>
      <c r="E197" s="16">
        <v>1118.2739999999999</v>
      </c>
      <c r="F197" s="16">
        <v>123.41</v>
      </c>
      <c r="G197" s="16">
        <v>6.2670000000000003</v>
      </c>
      <c r="H197" s="16">
        <v>3413.52</v>
      </c>
      <c r="I197" s="16">
        <v>1130.576</v>
      </c>
      <c r="J197" s="16">
        <v>123.402</v>
      </c>
    </row>
    <row r="198" spans="1:10" x14ac:dyDescent="0.2">
      <c r="A198" s="23" t="s">
        <v>270</v>
      </c>
      <c r="B198" s="16">
        <v>3700</v>
      </c>
      <c r="C198" s="16">
        <v>-6.2629999999999999</v>
      </c>
      <c r="D198" s="16">
        <v>3396.4470000000001</v>
      </c>
      <c r="E198" s="16">
        <v>1114.2819999999999</v>
      </c>
      <c r="F198" s="16">
        <v>123.401</v>
      </c>
      <c r="G198" s="16">
        <v>6.2549999999999999</v>
      </c>
      <c r="H198" s="16">
        <v>3393.8490000000002</v>
      </c>
      <c r="I198" s="16">
        <v>1126.528</v>
      </c>
      <c r="J198" s="16">
        <v>123.393</v>
      </c>
    </row>
    <row r="199" spans="1:10" x14ac:dyDescent="0.2">
      <c r="A199" s="23" t="s">
        <v>271</v>
      </c>
      <c r="B199" s="16">
        <v>3720</v>
      </c>
      <c r="C199" s="16">
        <v>-6.2460000000000004</v>
      </c>
      <c r="D199" s="16">
        <v>3376.9879999999998</v>
      </c>
      <c r="E199" s="16">
        <v>1110.0360000000001</v>
      </c>
      <c r="F199" s="16">
        <v>123.393</v>
      </c>
      <c r="G199" s="16">
        <v>6.2389999999999999</v>
      </c>
      <c r="H199" s="16">
        <v>3374.2350000000001</v>
      </c>
      <c r="I199" s="16">
        <v>1122.213</v>
      </c>
      <c r="J199" s="16">
        <v>123.38500000000001</v>
      </c>
    </row>
    <row r="200" spans="1:10" x14ac:dyDescent="0.2">
      <c r="A200" s="23" t="s">
        <v>272</v>
      </c>
      <c r="B200" s="16">
        <v>3740</v>
      </c>
      <c r="C200" s="16">
        <v>-6.2240000000000002</v>
      </c>
      <c r="D200" s="16">
        <v>3357.587</v>
      </c>
      <c r="E200" s="16">
        <v>1105.5360000000001</v>
      </c>
      <c r="F200" s="16">
        <v>123.38500000000001</v>
      </c>
      <c r="G200" s="16">
        <v>6.2160000000000002</v>
      </c>
      <c r="H200" s="16">
        <v>3354.6819999999998</v>
      </c>
      <c r="I200" s="16">
        <v>1117.6320000000001</v>
      </c>
      <c r="J200" s="16">
        <v>123.377</v>
      </c>
    </row>
    <row r="201" spans="1:10" x14ac:dyDescent="0.2">
      <c r="A201" s="23" t="s">
        <v>273</v>
      </c>
      <c r="B201" s="16">
        <v>3760</v>
      </c>
      <c r="C201" s="16">
        <v>-6.1959999999999997</v>
      </c>
      <c r="D201" s="16">
        <v>3338.2449999999999</v>
      </c>
      <c r="E201" s="16">
        <v>1100.7829999999999</v>
      </c>
      <c r="F201" s="16">
        <v>123.377</v>
      </c>
      <c r="G201" s="16">
        <v>6.1879999999999997</v>
      </c>
      <c r="H201" s="16">
        <v>3335.1930000000002</v>
      </c>
      <c r="I201" s="16">
        <v>1112.7850000000001</v>
      </c>
      <c r="J201" s="16">
        <v>123.369</v>
      </c>
    </row>
    <row r="202" spans="1:10" x14ac:dyDescent="0.2">
      <c r="A202" s="23" t="s">
        <v>274</v>
      </c>
      <c r="B202" s="16">
        <v>3780</v>
      </c>
      <c r="C202" s="16">
        <v>-6.1630000000000003</v>
      </c>
      <c r="D202" s="16">
        <v>3318.9670000000001</v>
      </c>
      <c r="E202" s="16">
        <v>1095.777</v>
      </c>
      <c r="F202" s="16">
        <v>123.369</v>
      </c>
      <c r="G202" s="16">
        <v>6.1550000000000002</v>
      </c>
      <c r="H202" s="16">
        <v>3315.7719999999999</v>
      </c>
      <c r="I202" s="16">
        <v>1107.673</v>
      </c>
      <c r="J202" s="16">
        <v>123.361</v>
      </c>
    </row>
    <row r="203" spans="1:10" x14ac:dyDescent="0.2">
      <c r="A203" s="23" t="s">
        <v>275</v>
      </c>
      <c r="B203" s="16">
        <v>3800</v>
      </c>
      <c r="C203" s="16">
        <v>-6.1239999999999997</v>
      </c>
      <c r="D203" s="16">
        <v>3299.7550000000001</v>
      </c>
      <c r="E203" s="16">
        <v>1090.521</v>
      </c>
      <c r="F203" s="16">
        <v>123.36199999999999</v>
      </c>
      <c r="G203" s="16">
        <v>6.1159999999999997</v>
      </c>
      <c r="H203" s="16">
        <v>3296.4229999999998</v>
      </c>
      <c r="I203" s="16">
        <v>1102.298</v>
      </c>
      <c r="J203" s="16">
        <v>123.354</v>
      </c>
    </row>
    <row r="204" spans="1:10" x14ac:dyDescent="0.2">
      <c r="A204" s="23" t="s">
        <v>276</v>
      </c>
      <c r="B204" s="16">
        <v>3820</v>
      </c>
      <c r="C204" s="16">
        <v>-6.0789999999999997</v>
      </c>
      <c r="D204" s="16">
        <v>3280.6129999999998</v>
      </c>
      <c r="E204" s="16">
        <v>1085.0139999999999</v>
      </c>
      <c r="F204" s="16">
        <v>123.354</v>
      </c>
      <c r="G204" s="16">
        <v>6.0709999999999997</v>
      </c>
      <c r="H204" s="16">
        <v>3277.15</v>
      </c>
      <c r="I204" s="16">
        <v>1096.6600000000001</v>
      </c>
      <c r="J204" s="16">
        <v>123.346</v>
      </c>
    </row>
    <row r="205" spans="1:10" s="30" customFormat="1" x14ac:dyDescent="0.2">
      <c r="A205" s="29" t="s">
        <v>277</v>
      </c>
      <c r="B205" s="28">
        <v>3826.99</v>
      </c>
      <c r="C205" s="28">
        <v>-6.0620000000000003</v>
      </c>
      <c r="D205" s="28">
        <v>3273.94</v>
      </c>
      <c r="E205" s="28">
        <v>1083.03</v>
      </c>
      <c r="F205" s="28">
        <v>123.352</v>
      </c>
      <c r="G205" s="28">
        <v>6.0540000000000003</v>
      </c>
      <c r="H205" s="28">
        <v>3270.4319999999998</v>
      </c>
      <c r="I205" s="28">
        <v>1094.6279999999999</v>
      </c>
      <c r="J205" s="28">
        <v>123.34399999999999</v>
      </c>
    </row>
    <row r="206" spans="1:10" x14ac:dyDescent="0.2">
      <c r="A206" s="23" t="s">
        <v>278</v>
      </c>
      <c r="B206" s="16">
        <v>3840</v>
      </c>
      <c r="C206" s="16">
        <v>-6.0289999999999999</v>
      </c>
      <c r="D206" s="16">
        <v>3261.5430000000001</v>
      </c>
      <c r="E206" s="16">
        <v>1079.2570000000001</v>
      </c>
      <c r="F206" s="16">
        <v>123.34699999999999</v>
      </c>
      <c r="G206" s="16">
        <v>6.0209999999999999</v>
      </c>
      <c r="H206" s="16">
        <v>3257.9560000000001</v>
      </c>
      <c r="I206" s="16">
        <v>1090.761</v>
      </c>
      <c r="J206" s="16">
        <v>123.339</v>
      </c>
    </row>
    <row r="207" spans="1:10" x14ac:dyDescent="0.2">
      <c r="A207" s="23" t="s">
        <v>279</v>
      </c>
      <c r="B207" s="16">
        <v>3860</v>
      </c>
      <c r="C207" s="16">
        <v>-5.9740000000000002</v>
      </c>
      <c r="D207" s="16">
        <v>3242.5439999999999</v>
      </c>
      <c r="E207" s="16">
        <v>1073.258</v>
      </c>
      <c r="F207" s="16">
        <v>123.34</v>
      </c>
      <c r="G207" s="16">
        <v>5.9660000000000002</v>
      </c>
      <c r="H207" s="16">
        <v>3238.8449999999998</v>
      </c>
      <c r="I207" s="16">
        <v>1084.6089999999999</v>
      </c>
      <c r="J207" s="16">
        <v>123.33199999999999</v>
      </c>
    </row>
    <row r="208" spans="1:10" x14ac:dyDescent="0.2">
      <c r="A208" s="23" t="s">
        <v>280</v>
      </c>
      <c r="B208" s="16">
        <v>3880</v>
      </c>
      <c r="C208" s="16">
        <v>-5.9119999999999999</v>
      </c>
      <c r="D208" s="16">
        <v>3223.616</v>
      </c>
      <c r="E208" s="16">
        <v>1067.0260000000001</v>
      </c>
      <c r="F208" s="16">
        <v>123.333</v>
      </c>
      <c r="G208" s="16">
        <v>5.9039999999999999</v>
      </c>
      <c r="H208" s="16">
        <v>3219.819</v>
      </c>
      <c r="I208" s="16">
        <v>1078.2159999999999</v>
      </c>
      <c r="J208" s="16">
        <v>123.325</v>
      </c>
    </row>
    <row r="209" spans="1:10" x14ac:dyDescent="0.2">
      <c r="A209" s="23" t="s">
        <v>281</v>
      </c>
      <c r="B209" s="16">
        <v>3900</v>
      </c>
      <c r="C209" s="16">
        <v>-5.8460000000000001</v>
      </c>
      <c r="D209" s="16">
        <v>3204.7579999999998</v>
      </c>
      <c r="E209" s="16">
        <v>1060.5740000000001</v>
      </c>
      <c r="F209" s="16">
        <v>123.32599999999999</v>
      </c>
      <c r="G209" s="16">
        <v>5.8380000000000001</v>
      </c>
      <c r="H209" s="16">
        <v>3200.875</v>
      </c>
      <c r="I209" s="16">
        <v>1071.5930000000001</v>
      </c>
      <c r="J209" s="16">
        <v>123.318</v>
      </c>
    </row>
    <row r="210" spans="1:10" x14ac:dyDescent="0.2">
      <c r="A210" s="23" t="s">
        <v>282</v>
      </c>
      <c r="B210" s="16">
        <v>3920</v>
      </c>
      <c r="C210" s="16">
        <v>-5.7729999999999997</v>
      </c>
      <c r="D210" s="16">
        <v>3185.9690000000001</v>
      </c>
      <c r="E210" s="16">
        <v>1053.9110000000001</v>
      </c>
      <c r="F210" s="16">
        <v>123.319</v>
      </c>
      <c r="G210" s="16">
        <v>5.7649999999999997</v>
      </c>
      <c r="H210" s="16">
        <v>3182.0129999999999</v>
      </c>
      <c r="I210" s="16">
        <v>1064.75</v>
      </c>
      <c r="J210" s="16">
        <v>123.312</v>
      </c>
    </row>
    <row r="211" spans="1:10" x14ac:dyDescent="0.2">
      <c r="A211" s="23" t="s">
        <v>283</v>
      </c>
      <c r="B211" s="16">
        <v>3940</v>
      </c>
      <c r="C211" s="16">
        <v>-5.6950000000000003</v>
      </c>
      <c r="D211" s="16">
        <v>3167.248</v>
      </c>
      <c r="E211" s="16">
        <v>1047.048</v>
      </c>
      <c r="F211" s="16">
        <v>123.313</v>
      </c>
      <c r="G211" s="16">
        <v>5.6879999999999997</v>
      </c>
      <c r="H211" s="16">
        <v>3163.232</v>
      </c>
      <c r="I211" s="16">
        <v>1057.6990000000001</v>
      </c>
      <c r="J211" s="16">
        <v>123.30500000000001</v>
      </c>
    </row>
    <row r="212" spans="1:10" x14ac:dyDescent="0.2">
      <c r="A212" s="23" t="s">
        <v>284</v>
      </c>
      <c r="B212" s="16">
        <v>3960</v>
      </c>
      <c r="C212" s="16">
        <v>-5.6120000000000001</v>
      </c>
      <c r="D212" s="16">
        <v>3148.5929999999998</v>
      </c>
      <c r="E212" s="16">
        <v>1039.9960000000001</v>
      </c>
      <c r="F212" s="16">
        <v>123.307</v>
      </c>
      <c r="G212" s="16">
        <v>5.6040000000000001</v>
      </c>
      <c r="H212" s="16">
        <v>3144.5309999999999</v>
      </c>
      <c r="I212" s="16">
        <v>1050.451</v>
      </c>
      <c r="J212" s="16">
        <v>123.29900000000001</v>
      </c>
    </row>
    <row r="213" spans="1:10" x14ac:dyDescent="0.2">
      <c r="A213" s="23" t="s">
        <v>285</v>
      </c>
      <c r="B213" s="16">
        <v>3980</v>
      </c>
      <c r="C213" s="16">
        <v>-5.5229999999999997</v>
      </c>
      <c r="D213" s="16">
        <v>3130.002</v>
      </c>
      <c r="E213" s="16">
        <v>1032.7660000000001</v>
      </c>
      <c r="F213" s="16">
        <v>123.3</v>
      </c>
      <c r="G213" s="16">
        <v>5.5149999999999997</v>
      </c>
      <c r="H213" s="16">
        <v>3125.9070000000002</v>
      </c>
      <c r="I213" s="16">
        <v>1043.0170000000001</v>
      </c>
      <c r="J213" s="16">
        <v>123.29300000000001</v>
      </c>
    </row>
    <row r="214" spans="1:10" x14ac:dyDescent="0.2">
      <c r="A214" s="23" t="s">
        <v>286</v>
      </c>
      <c r="B214" s="16">
        <v>4000</v>
      </c>
      <c r="C214" s="16">
        <v>-5.4279999999999999</v>
      </c>
      <c r="D214" s="16">
        <v>3111.473</v>
      </c>
      <c r="E214" s="16">
        <v>1025.3689999999999</v>
      </c>
      <c r="F214" s="16">
        <v>123.294</v>
      </c>
      <c r="G214" s="16">
        <v>5.4210000000000003</v>
      </c>
      <c r="H214" s="16">
        <v>3107.3580000000002</v>
      </c>
      <c r="I214" s="16">
        <v>1035.4069999999999</v>
      </c>
      <c r="J214" s="16">
        <v>123.28700000000001</v>
      </c>
    </row>
    <row r="215" spans="1:10" x14ac:dyDescent="0.2">
      <c r="A215" s="23" t="s">
        <v>287</v>
      </c>
      <c r="B215" s="16">
        <v>4020</v>
      </c>
      <c r="C215" s="16">
        <v>-5.33</v>
      </c>
      <c r="D215" s="16">
        <v>3093.0050000000001</v>
      </c>
      <c r="E215" s="16">
        <v>1017.811</v>
      </c>
      <c r="F215" s="16">
        <v>123.288</v>
      </c>
      <c r="G215" s="16">
        <v>5.3230000000000004</v>
      </c>
      <c r="H215" s="16">
        <v>3088.8809999999999</v>
      </c>
      <c r="I215" s="16">
        <v>1027.634</v>
      </c>
      <c r="J215" s="16">
        <v>123.28100000000001</v>
      </c>
    </row>
    <row r="216" spans="1:10" x14ac:dyDescent="0.2">
      <c r="A216" s="23" t="s">
        <v>288</v>
      </c>
      <c r="B216" s="16">
        <v>4040</v>
      </c>
      <c r="C216" s="16">
        <v>-5.2329999999999997</v>
      </c>
      <c r="D216" s="16">
        <v>3074.596</v>
      </c>
      <c r="E216" s="16">
        <v>1010.101</v>
      </c>
      <c r="F216" s="16">
        <v>123.282</v>
      </c>
      <c r="G216" s="16">
        <v>5.226</v>
      </c>
      <c r="H216" s="16">
        <v>3070.471</v>
      </c>
      <c r="I216" s="16">
        <v>1019.712</v>
      </c>
      <c r="J216" s="16">
        <v>123.27500000000001</v>
      </c>
    </row>
    <row r="217" spans="1:10" x14ac:dyDescent="0.2">
      <c r="A217" s="23" t="s">
        <v>289</v>
      </c>
      <c r="B217" s="16">
        <v>4060</v>
      </c>
      <c r="C217" s="16">
        <v>-5.1349999999999998</v>
      </c>
      <c r="D217" s="16">
        <v>3056.2429999999999</v>
      </c>
      <c r="E217" s="16">
        <v>1002.249</v>
      </c>
      <c r="F217" s="16">
        <v>123.277</v>
      </c>
      <c r="G217" s="16">
        <v>5.1280000000000001</v>
      </c>
      <c r="H217" s="16">
        <v>3052.1260000000002</v>
      </c>
      <c r="I217" s="16">
        <v>1011.65</v>
      </c>
      <c r="J217" s="16">
        <v>123.27</v>
      </c>
    </row>
    <row r="218" spans="1:10" x14ac:dyDescent="0.2">
      <c r="A218" s="23" t="s">
        <v>290</v>
      </c>
      <c r="B218" s="16">
        <v>4080</v>
      </c>
      <c r="C218" s="16">
        <v>-5.0380000000000003</v>
      </c>
      <c r="D218" s="16">
        <v>3037.944</v>
      </c>
      <c r="E218" s="16">
        <v>994.26499999999999</v>
      </c>
      <c r="F218" s="16">
        <v>123.271</v>
      </c>
      <c r="G218" s="16">
        <v>5.0309999999999997</v>
      </c>
      <c r="H218" s="16">
        <v>3033.8409999999999</v>
      </c>
      <c r="I218" s="16">
        <v>1003.46</v>
      </c>
      <c r="J218" s="16">
        <v>123.264</v>
      </c>
    </row>
    <row r="219" spans="1:10" x14ac:dyDescent="0.2">
      <c r="A219" s="23" t="s">
        <v>291</v>
      </c>
      <c r="B219" s="16">
        <v>4100</v>
      </c>
      <c r="C219" s="16">
        <v>-4.9409999999999998</v>
      </c>
      <c r="D219" s="16">
        <v>3019.694</v>
      </c>
      <c r="E219" s="16">
        <v>986.16</v>
      </c>
      <c r="F219" s="16">
        <v>123.265</v>
      </c>
      <c r="G219" s="16">
        <v>4.9340000000000002</v>
      </c>
      <c r="H219" s="16">
        <v>3015.614</v>
      </c>
      <c r="I219" s="16">
        <v>995.15200000000004</v>
      </c>
      <c r="J219" s="16">
        <v>123.259</v>
      </c>
    </row>
    <row r="220" spans="1:10" x14ac:dyDescent="0.2">
      <c r="A220" s="23" t="s">
        <v>292</v>
      </c>
      <c r="B220" s="16">
        <v>4120</v>
      </c>
      <c r="C220" s="16">
        <v>-4.843</v>
      </c>
      <c r="D220" s="16">
        <v>3001.491</v>
      </c>
      <c r="E220" s="16">
        <v>977.94200000000001</v>
      </c>
      <c r="F220" s="16">
        <v>123.26</v>
      </c>
      <c r="G220" s="16">
        <v>4.8369999999999997</v>
      </c>
      <c r="H220" s="16">
        <v>2997.44</v>
      </c>
      <c r="I220" s="16">
        <v>986.73400000000004</v>
      </c>
      <c r="J220" s="16">
        <v>123.253</v>
      </c>
    </row>
    <row r="221" spans="1:10" x14ac:dyDescent="0.2">
      <c r="A221" s="23" t="s">
        <v>293</v>
      </c>
      <c r="B221" s="16">
        <v>4140</v>
      </c>
      <c r="C221" s="16">
        <v>-4.7450000000000001</v>
      </c>
      <c r="D221" s="16">
        <v>2983.33</v>
      </c>
      <c r="E221" s="16">
        <v>969.625</v>
      </c>
      <c r="F221" s="16">
        <v>123.253</v>
      </c>
      <c r="G221" s="16">
        <v>4.7380000000000004</v>
      </c>
      <c r="H221" s="16">
        <v>2979.317</v>
      </c>
      <c r="I221" s="16">
        <v>978.21699999999998</v>
      </c>
      <c r="J221" s="16">
        <v>123.246</v>
      </c>
    </row>
    <row r="222" spans="1:10" x14ac:dyDescent="0.2">
      <c r="A222" s="23" t="s">
        <v>294</v>
      </c>
      <c r="B222" s="16">
        <v>4160</v>
      </c>
      <c r="C222" s="16">
        <v>-4.6449999999999996</v>
      </c>
      <c r="D222" s="16">
        <v>2965.2069999999999</v>
      </c>
      <c r="E222" s="16">
        <v>961.21699999999998</v>
      </c>
      <c r="F222" s="16">
        <v>123.245</v>
      </c>
      <c r="G222" s="16">
        <v>4.6379999999999999</v>
      </c>
      <c r="H222" s="16">
        <v>2961.239</v>
      </c>
      <c r="I222" s="16">
        <v>969.60900000000004</v>
      </c>
      <c r="J222" s="16">
        <v>123.238</v>
      </c>
    </row>
    <row r="223" spans="1:10" x14ac:dyDescent="0.2">
      <c r="A223" s="23" t="s">
        <v>295</v>
      </c>
      <c r="B223" s="16">
        <v>4180</v>
      </c>
      <c r="C223" s="16">
        <v>-4.5460000000000003</v>
      </c>
      <c r="D223" s="16">
        <v>2947.1190000000001</v>
      </c>
      <c r="E223" s="16">
        <v>952.72699999999998</v>
      </c>
      <c r="F223" s="16">
        <v>123.23699999999999</v>
      </c>
      <c r="G223" s="16">
        <v>4.5389999999999997</v>
      </c>
      <c r="H223" s="16">
        <v>2943.2020000000002</v>
      </c>
      <c r="I223" s="16">
        <v>960.923</v>
      </c>
      <c r="J223" s="16">
        <v>123.23099999999999</v>
      </c>
    </row>
    <row r="224" spans="1:10" x14ac:dyDescent="0.2">
      <c r="A224" s="23" t="s">
        <v>296</v>
      </c>
      <c r="B224" s="16">
        <v>4200</v>
      </c>
      <c r="C224" s="16">
        <v>-4.4459999999999997</v>
      </c>
      <c r="D224" s="16">
        <v>2929.0630000000001</v>
      </c>
      <c r="E224" s="16">
        <v>944.16499999999996</v>
      </c>
      <c r="F224" s="16">
        <v>123.229</v>
      </c>
      <c r="G224" s="16">
        <v>4.4400000000000004</v>
      </c>
      <c r="H224" s="16">
        <v>2925.201</v>
      </c>
      <c r="I224" s="16">
        <v>952.16800000000001</v>
      </c>
      <c r="J224" s="16">
        <v>123.223</v>
      </c>
    </row>
    <row r="225" spans="1:10" x14ac:dyDescent="0.2">
      <c r="A225" s="23" t="s">
        <v>297</v>
      </c>
      <c r="B225" s="16">
        <v>4220</v>
      </c>
      <c r="C225" s="16">
        <v>-4.3470000000000004</v>
      </c>
      <c r="D225" s="16">
        <v>2911.0320000000002</v>
      </c>
      <c r="E225" s="16">
        <v>935.54100000000005</v>
      </c>
      <c r="F225" s="16">
        <v>123.22199999999999</v>
      </c>
      <c r="G225" s="16">
        <v>4.34</v>
      </c>
      <c r="H225" s="16">
        <v>2907.2330000000002</v>
      </c>
      <c r="I225" s="16">
        <v>943.35299999999995</v>
      </c>
      <c r="J225" s="16">
        <v>123.215</v>
      </c>
    </row>
    <row r="226" spans="1:10" x14ac:dyDescent="0.2">
      <c r="A226" s="23" t="s">
        <v>298</v>
      </c>
      <c r="B226" s="16">
        <v>4240</v>
      </c>
      <c r="C226" s="16">
        <v>-4.2469999999999999</v>
      </c>
      <c r="D226" s="16">
        <v>2893.0239999999999</v>
      </c>
      <c r="E226" s="16">
        <v>926.86500000000001</v>
      </c>
      <c r="F226" s="16">
        <v>123.214</v>
      </c>
      <c r="G226" s="16">
        <v>4.2409999999999997</v>
      </c>
      <c r="H226" s="16">
        <v>2889.2930000000001</v>
      </c>
      <c r="I226" s="16">
        <v>934.48900000000003</v>
      </c>
      <c r="J226" s="16">
        <v>123.208</v>
      </c>
    </row>
    <row r="227" spans="1:10" x14ac:dyDescent="0.2">
      <c r="A227" s="23" t="s">
        <v>299</v>
      </c>
      <c r="B227" s="16">
        <v>4260</v>
      </c>
      <c r="C227" s="16">
        <v>-4.1520000000000001</v>
      </c>
      <c r="D227" s="16">
        <v>2875.0360000000001</v>
      </c>
      <c r="E227" s="16">
        <v>918.14200000000005</v>
      </c>
      <c r="F227" s="16">
        <v>123.20699999999999</v>
      </c>
      <c r="G227" s="16">
        <v>4.1580000000000004</v>
      </c>
      <c r="H227" s="16">
        <v>2871.3670000000002</v>
      </c>
      <c r="I227" s="16">
        <v>925.59799999999996</v>
      </c>
      <c r="J227" s="16">
        <v>123.2</v>
      </c>
    </row>
    <row r="228" spans="1:10" x14ac:dyDescent="0.2">
      <c r="A228" s="23" t="s">
        <v>300</v>
      </c>
      <c r="B228" s="16">
        <v>4280</v>
      </c>
      <c r="C228" s="16">
        <v>-4.2510000000000003</v>
      </c>
      <c r="D228" s="16">
        <v>2857.1469999999999</v>
      </c>
      <c r="E228" s="16">
        <v>909.21199999999999</v>
      </c>
      <c r="F228" s="16">
        <v>123.199</v>
      </c>
      <c r="G228" s="16">
        <v>4.2569999999999997</v>
      </c>
      <c r="H228" s="16">
        <v>2853.3789999999999</v>
      </c>
      <c r="I228" s="16">
        <v>916.84100000000001</v>
      </c>
      <c r="J228" s="16">
        <v>123.193</v>
      </c>
    </row>
    <row r="229" spans="1:10" x14ac:dyDescent="0.2">
      <c r="A229" s="23" t="s">
        <v>301</v>
      </c>
      <c r="B229" s="16">
        <v>4300</v>
      </c>
      <c r="C229" s="16">
        <v>-4.3499999999999996</v>
      </c>
      <c r="D229" s="16">
        <v>2839.268</v>
      </c>
      <c r="E229" s="16">
        <v>900.25900000000001</v>
      </c>
      <c r="F229" s="16">
        <v>123.19199999999999</v>
      </c>
      <c r="G229" s="16">
        <v>4.3570000000000002</v>
      </c>
      <c r="H229" s="16">
        <v>2835.404</v>
      </c>
      <c r="I229" s="16">
        <v>908.06200000000001</v>
      </c>
      <c r="J229" s="16">
        <v>123.185</v>
      </c>
    </row>
    <row r="230" spans="1:10" x14ac:dyDescent="0.2">
      <c r="A230" s="23" t="s">
        <v>302</v>
      </c>
      <c r="B230" s="16">
        <v>4320</v>
      </c>
      <c r="C230" s="16">
        <v>-4.4489999999999998</v>
      </c>
      <c r="D230" s="16">
        <v>2821.3919999999998</v>
      </c>
      <c r="E230" s="16">
        <v>891.29200000000003</v>
      </c>
      <c r="F230" s="16">
        <v>123.184</v>
      </c>
      <c r="G230" s="16">
        <v>4.4560000000000004</v>
      </c>
      <c r="H230" s="16">
        <v>2817.4369999999999</v>
      </c>
      <c r="I230" s="16">
        <v>899.27099999999996</v>
      </c>
      <c r="J230" s="16">
        <v>123.178</v>
      </c>
    </row>
    <row r="231" spans="1:10" x14ac:dyDescent="0.2">
      <c r="A231" s="23" t="s">
        <v>303</v>
      </c>
      <c r="B231" s="16">
        <v>4326.4949999999999</v>
      </c>
      <c r="C231" s="16">
        <v>-4.4820000000000002</v>
      </c>
      <c r="D231" s="16">
        <v>2815.587</v>
      </c>
      <c r="E231" s="16">
        <v>888.37900000000002</v>
      </c>
      <c r="F231" s="16">
        <v>123.182</v>
      </c>
      <c r="G231" s="16">
        <v>4.4880000000000004</v>
      </c>
      <c r="H231" s="16">
        <v>2811.6030000000001</v>
      </c>
      <c r="I231" s="16">
        <v>896.41499999999996</v>
      </c>
      <c r="J231" s="16">
        <v>123.175</v>
      </c>
    </row>
    <row r="232" spans="1:10" x14ac:dyDescent="0.2">
      <c r="A232" s="23" t="s">
        <v>304</v>
      </c>
      <c r="B232" s="16">
        <v>4340</v>
      </c>
      <c r="C232" s="16">
        <v>-4.5490000000000004</v>
      </c>
      <c r="D232" s="16">
        <v>2803.5160000000001</v>
      </c>
      <c r="E232" s="16">
        <v>882.32100000000003</v>
      </c>
      <c r="F232" s="16">
        <v>123.17700000000001</v>
      </c>
      <c r="G232" s="16">
        <v>4.5549999999999997</v>
      </c>
      <c r="H232" s="16">
        <v>2799.4740000000002</v>
      </c>
      <c r="I232" s="16">
        <v>890.47799999999995</v>
      </c>
      <c r="J232" s="16">
        <v>123.17</v>
      </c>
    </row>
    <row r="233" spans="1:10" x14ac:dyDescent="0.2">
      <c r="A233" s="23" t="s">
        <v>305</v>
      </c>
      <c r="B233" s="16">
        <v>4360</v>
      </c>
      <c r="C233" s="16">
        <v>-4.6470000000000002</v>
      </c>
      <c r="D233" s="16">
        <v>2785.6350000000002</v>
      </c>
      <c r="E233" s="16">
        <v>873.35599999999999</v>
      </c>
      <c r="F233" s="16">
        <v>123.169</v>
      </c>
      <c r="G233" s="16">
        <v>4.6539999999999999</v>
      </c>
      <c r="H233" s="16">
        <v>2781.51</v>
      </c>
      <c r="I233" s="16">
        <v>881.69299999999998</v>
      </c>
      <c r="J233" s="16">
        <v>123.16200000000001</v>
      </c>
    </row>
    <row r="234" spans="1:10" x14ac:dyDescent="0.2">
      <c r="A234" s="23" t="s">
        <v>306</v>
      </c>
      <c r="B234" s="16">
        <v>4380</v>
      </c>
      <c r="C234" s="16">
        <v>-4.7430000000000003</v>
      </c>
      <c r="D234" s="16">
        <v>2767.741</v>
      </c>
      <c r="E234" s="16">
        <v>864.40800000000002</v>
      </c>
      <c r="F234" s="16">
        <v>123.16200000000001</v>
      </c>
      <c r="G234" s="16">
        <v>4.75</v>
      </c>
      <c r="H234" s="16">
        <v>2763.5419999999999</v>
      </c>
      <c r="I234" s="16">
        <v>872.92100000000005</v>
      </c>
      <c r="J234" s="16">
        <v>123.155</v>
      </c>
    </row>
    <row r="235" spans="1:10" x14ac:dyDescent="0.2">
      <c r="A235" s="23" t="s">
        <v>307</v>
      </c>
      <c r="B235" s="16">
        <v>4400</v>
      </c>
      <c r="C235" s="16">
        <v>-4.8339999999999996</v>
      </c>
      <c r="D235" s="16">
        <v>2749.8310000000001</v>
      </c>
      <c r="E235" s="16">
        <v>855.48900000000003</v>
      </c>
      <c r="F235" s="16">
        <v>123.154</v>
      </c>
      <c r="G235" s="16">
        <v>4.8419999999999996</v>
      </c>
      <c r="H235" s="16">
        <v>2745.5650000000001</v>
      </c>
      <c r="I235" s="16">
        <v>864.173</v>
      </c>
      <c r="J235" s="16">
        <v>123.14700000000001</v>
      </c>
    </row>
    <row r="236" spans="1:10" x14ac:dyDescent="0.2">
      <c r="A236" s="23" t="s">
        <v>308</v>
      </c>
      <c r="B236" s="16">
        <v>4420</v>
      </c>
      <c r="C236" s="16">
        <v>-4.9219999999999997</v>
      </c>
      <c r="D236" s="16">
        <v>2731.8989999999999</v>
      </c>
      <c r="E236" s="16">
        <v>846.60699999999997</v>
      </c>
      <c r="F236" s="16">
        <v>123.14700000000001</v>
      </c>
      <c r="G236" s="16">
        <v>4.9290000000000003</v>
      </c>
      <c r="H236" s="16">
        <v>2727.576</v>
      </c>
      <c r="I236" s="16">
        <v>855.45799999999997</v>
      </c>
      <c r="J236" s="16">
        <v>123.14</v>
      </c>
    </row>
    <row r="237" spans="1:10" x14ac:dyDescent="0.2">
      <c r="A237" s="23" t="s">
        <v>309</v>
      </c>
      <c r="B237" s="16">
        <v>4440</v>
      </c>
      <c r="C237" s="16">
        <v>-5.0060000000000002</v>
      </c>
      <c r="D237" s="16">
        <v>2713.9409999999998</v>
      </c>
      <c r="E237" s="16">
        <v>837.77200000000005</v>
      </c>
      <c r="F237" s="16">
        <v>123.139</v>
      </c>
      <c r="G237" s="16">
        <v>5.0129999999999999</v>
      </c>
      <c r="H237" s="16">
        <v>2709.569</v>
      </c>
      <c r="I237" s="16">
        <v>846.78599999999994</v>
      </c>
      <c r="J237" s="16">
        <v>123.13200000000001</v>
      </c>
    </row>
    <row r="238" spans="1:10" x14ac:dyDescent="0.2">
      <c r="A238" s="23" t="s">
        <v>310</v>
      </c>
      <c r="B238" s="16">
        <v>4460</v>
      </c>
      <c r="C238" s="16">
        <v>-5.085</v>
      </c>
      <c r="D238" s="16">
        <v>2695.9520000000002</v>
      </c>
      <c r="E238" s="16">
        <v>828.99300000000005</v>
      </c>
      <c r="F238" s="16">
        <v>123.13200000000001</v>
      </c>
      <c r="G238" s="16">
        <v>5.093</v>
      </c>
      <c r="H238" s="16">
        <v>2691.54</v>
      </c>
      <c r="I238" s="16">
        <v>838.16600000000005</v>
      </c>
      <c r="J238" s="16">
        <v>123.124</v>
      </c>
    </row>
    <row r="239" spans="1:10" x14ac:dyDescent="0.2">
      <c r="A239" s="23" t="s">
        <v>311</v>
      </c>
      <c r="B239" s="16">
        <v>4480</v>
      </c>
      <c r="C239" s="16">
        <v>-5.1609999999999996</v>
      </c>
      <c r="D239" s="16">
        <v>2677.9270000000001</v>
      </c>
      <c r="E239" s="16">
        <v>820.28200000000004</v>
      </c>
      <c r="F239" s="16">
        <v>123.124</v>
      </c>
      <c r="G239" s="16">
        <v>5.1689999999999996</v>
      </c>
      <c r="H239" s="16">
        <v>2673.4850000000001</v>
      </c>
      <c r="I239" s="16">
        <v>829.60799999999995</v>
      </c>
      <c r="J239" s="16">
        <v>123.117</v>
      </c>
    </row>
    <row r="240" spans="1:10" x14ac:dyDescent="0.2">
      <c r="A240" s="23" t="s">
        <v>312</v>
      </c>
      <c r="B240" s="16">
        <v>4500</v>
      </c>
      <c r="C240" s="16">
        <v>-5.2329999999999997</v>
      </c>
      <c r="D240" s="16">
        <v>2659.8620000000001</v>
      </c>
      <c r="E240" s="16">
        <v>811.64599999999996</v>
      </c>
      <c r="F240" s="16">
        <v>123.116</v>
      </c>
      <c r="G240" s="16">
        <v>5.24</v>
      </c>
      <c r="H240" s="16">
        <v>2655.4</v>
      </c>
      <c r="I240" s="16">
        <v>821.12099999999998</v>
      </c>
      <c r="J240" s="16">
        <v>123.10899999999999</v>
      </c>
    </row>
    <row r="241" spans="1:10" x14ac:dyDescent="0.2">
      <c r="A241" s="23" t="s">
        <v>313</v>
      </c>
      <c r="B241" s="16">
        <v>4520</v>
      </c>
      <c r="C241" s="16">
        <v>-5.3010000000000002</v>
      </c>
      <c r="D241" s="16">
        <v>2641.7530000000002</v>
      </c>
      <c r="E241" s="16">
        <v>803.09699999999998</v>
      </c>
      <c r="F241" s="16">
        <v>123.10899999999999</v>
      </c>
      <c r="G241" s="16">
        <v>5.3079999999999998</v>
      </c>
      <c r="H241" s="16">
        <v>2637.28</v>
      </c>
      <c r="I241" s="16">
        <v>812.71699999999998</v>
      </c>
      <c r="J241" s="16">
        <v>123.101</v>
      </c>
    </row>
    <row r="242" spans="1:10" x14ac:dyDescent="0.2">
      <c r="A242" s="23" t="s">
        <v>314</v>
      </c>
      <c r="B242" s="16">
        <v>4540</v>
      </c>
      <c r="C242" s="16">
        <v>-5.3650000000000002</v>
      </c>
      <c r="D242" s="16">
        <v>2623.5949999999998</v>
      </c>
      <c r="E242" s="16">
        <v>794.64300000000003</v>
      </c>
      <c r="F242" s="16">
        <v>123.101</v>
      </c>
      <c r="G242" s="16">
        <v>5.3719999999999999</v>
      </c>
      <c r="H242" s="16">
        <v>2619.1219999999998</v>
      </c>
      <c r="I242" s="16">
        <v>804.40300000000002</v>
      </c>
      <c r="J242" s="16">
        <v>123.093</v>
      </c>
    </row>
    <row r="243" spans="1:10" x14ac:dyDescent="0.2">
      <c r="A243" s="23" t="s">
        <v>315</v>
      </c>
      <c r="B243" s="16">
        <v>4560</v>
      </c>
      <c r="C243" s="16">
        <v>-5.4249999999999998</v>
      </c>
      <c r="D243" s="16">
        <v>2605.3850000000002</v>
      </c>
      <c r="E243" s="16">
        <v>786.29499999999996</v>
      </c>
      <c r="F243" s="16">
        <v>123.093</v>
      </c>
      <c r="G243" s="16">
        <v>5.4320000000000004</v>
      </c>
      <c r="H243" s="16">
        <v>2600.9209999999998</v>
      </c>
      <c r="I243" s="16">
        <v>796.19100000000003</v>
      </c>
      <c r="J243" s="16">
        <v>123.08499999999999</v>
      </c>
    </row>
    <row r="244" spans="1:10" x14ac:dyDescent="0.2">
      <c r="A244" s="23" t="s">
        <v>316</v>
      </c>
      <c r="B244" s="16">
        <v>4580</v>
      </c>
      <c r="C244" s="16">
        <v>-5.4809999999999999</v>
      </c>
      <c r="D244" s="16">
        <v>2587.1190000000001</v>
      </c>
      <c r="E244" s="16">
        <v>778.06299999999999</v>
      </c>
      <c r="F244" s="16">
        <v>123.08499999999999</v>
      </c>
      <c r="G244" s="16">
        <v>5.4889999999999999</v>
      </c>
      <c r="H244" s="16">
        <v>2582.6729999999998</v>
      </c>
      <c r="I244" s="16">
        <v>788.09100000000001</v>
      </c>
      <c r="J244" s="16">
        <v>123.077</v>
      </c>
    </row>
    <row r="245" spans="1:10" x14ac:dyDescent="0.2">
      <c r="A245" s="23" t="s">
        <v>317</v>
      </c>
      <c r="B245" s="16">
        <v>4600</v>
      </c>
      <c r="C245" s="16">
        <v>-5.5330000000000004</v>
      </c>
      <c r="D245" s="16">
        <v>2568.7930000000001</v>
      </c>
      <c r="E245" s="16">
        <v>769.95699999999999</v>
      </c>
      <c r="F245" s="16">
        <v>123.077</v>
      </c>
      <c r="G245" s="16">
        <v>5.5410000000000004</v>
      </c>
      <c r="H245" s="16">
        <v>2564.3760000000002</v>
      </c>
      <c r="I245" s="16">
        <v>780.11199999999997</v>
      </c>
      <c r="J245" s="16">
        <v>123.069</v>
      </c>
    </row>
    <row r="246" spans="1:10" x14ac:dyDescent="0.2">
      <c r="A246" s="23" t="s">
        <v>318</v>
      </c>
      <c r="B246" s="16">
        <v>4620</v>
      </c>
      <c r="C246" s="16">
        <v>-5.5810000000000004</v>
      </c>
      <c r="D246" s="16">
        <v>2550.404</v>
      </c>
      <c r="E246" s="16">
        <v>761.98800000000006</v>
      </c>
      <c r="F246" s="16">
        <v>123.068</v>
      </c>
      <c r="G246" s="16">
        <v>5.5890000000000004</v>
      </c>
      <c r="H246" s="16">
        <v>2546.0259999999998</v>
      </c>
      <c r="I246" s="16">
        <v>772.26400000000001</v>
      </c>
      <c r="J246" s="16">
        <v>123.06</v>
      </c>
    </row>
    <row r="247" spans="1:10" x14ac:dyDescent="0.2">
      <c r="A247" s="23" t="s">
        <v>319</v>
      </c>
      <c r="B247" s="16">
        <v>4640</v>
      </c>
      <c r="C247" s="16">
        <v>-5.6260000000000003</v>
      </c>
      <c r="D247" s="16">
        <v>2531.9479999999999</v>
      </c>
      <c r="E247" s="16">
        <v>754.16499999999996</v>
      </c>
      <c r="F247" s="16">
        <v>123.06</v>
      </c>
      <c r="G247" s="16">
        <v>5.6340000000000003</v>
      </c>
      <c r="H247" s="16">
        <v>2527.6190000000001</v>
      </c>
      <c r="I247" s="16">
        <v>764.55799999999999</v>
      </c>
      <c r="J247" s="16">
        <v>123.05200000000001</v>
      </c>
    </row>
    <row r="248" spans="1:10" x14ac:dyDescent="0.2">
      <c r="A248" s="23" t="s">
        <v>320</v>
      </c>
      <c r="B248" s="16">
        <v>4660</v>
      </c>
      <c r="C248" s="16">
        <v>-5.6660000000000004</v>
      </c>
      <c r="D248" s="16">
        <v>2513.4229999999998</v>
      </c>
      <c r="E248" s="16">
        <v>746.49900000000002</v>
      </c>
      <c r="F248" s="16">
        <v>123.051</v>
      </c>
      <c r="G248" s="16">
        <v>5.6740000000000004</v>
      </c>
      <c r="H248" s="16">
        <v>2509.1529999999998</v>
      </c>
      <c r="I248" s="16">
        <v>757.005</v>
      </c>
      <c r="J248" s="16">
        <v>123.04300000000001</v>
      </c>
    </row>
    <row r="249" spans="1:10" x14ac:dyDescent="0.2">
      <c r="A249" s="23" t="s">
        <v>321</v>
      </c>
      <c r="B249" s="16">
        <v>4680</v>
      </c>
      <c r="C249" s="16">
        <v>-5.7030000000000003</v>
      </c>
      <c r="D249" s="16">
        <v>2494.8249999999998</v>
      </c>
      <c r="E249" s="16">
        <v>739</v>
      </c>
      <c r="F249" s="16">
        <v>123.04300000000001</v>
      </c>
      <c r="G249" s="16">
        <v>5.7110000000000003</v>
      </c>
      <c r="H249" s="16">
        <v>2490.6260000000002</v>
      </c>
      <c r="I249" s="16">
        <v>749.61300000000006</v>
      </c>
      <c r="J249" s="16">
        <v>123.035</v>
      </c>
    </row>
    <row r="250" spans="1:10" x14ac:dyDescent="0.2">
      <c r="A250" s="23" t="s">
        <v>322</v>
      </c>
      <c r="B250" s="16">
        <v>4700</v>
      </c>
      <c r="C250" s="16">
        <v>-5.7359999999999998</v>
      </c>
      <c r="D250" s="16">
        <v>2476.1529999999998</v>
      </c>
      <c r="E250" s="16">
        <v>731.68</v>
      </c>
      <c r="F250" s="16">
        <v>123.03400000000001</v>
      </c>
      <c r="G250" s="16">
        <v>5.7439999999999998</v>
      </c>
      <c r="H250" s="16">
        <v>2472.0329999999999</v>
      </c>
      <c r="I250" s="16">
        <v>742.39400000000001</v>
      </c>
      <c r="J250" s="16">
        <v>123.026</v>
      </c>
    </row>
    <row r="251" spans="1:10" x14ac:dyDescent="0.2">
      <c r="A251" s="23" t="s">
        <v>323</v>
      </c>
      <c r="B251" s="16">
        <v>4720</v>
      </c>
      <c r="C251" s="16">
        <v>-5.7649999999999997</v>
      </c>
      <c r="D251" s="16">
        <v>2457.4050000000002</v>
      </c>
      <c r="E251" s="16">
        <v>724.54899999999998</v>
      </c>
      <c r="F251" s="16">
        <v>123.02500000000001</v>
      </c>
      <c r="G251" s="16">
        <v>5.7729999999999997</v>
      </c>
      <c r="H251" s="16">
        <v>2453.375</v>
      </c>
      <c r="I251" s="16">
        <v>735.35900000000004</v>
      </c>
      <c r="J251" s="16">
        <v>123.017</v>
      </c>
    </row>
    <row r="252" spans="1:10" x14ac:dyDescent="0.2">
      <c r="A252" s="23" t="s">
        <v>324</v>
      </c>
      <c r="B252" s="16">
        <v>4740</v>
      </c>
      <c r="C252" s="16">
        <v>-5.79</v>
      </c>
      <c r="D252" s="16">
        <v>2438.578</v>
      </c>
      <c r="E252" s="16">
        <v>717.61699999999996</v>
      </c>
      <c r="F252" s="16">
        <v>123.01600000000001</v>
      </c>
      <c r="G252" s="16">
        <v>5.798</v>
      </c>
      <c r="H252" s="16">
        <v>2434.6480000000001</v>
      </c>
      <c r="I252" s="16">
        <v>728.51700000000005</v>
      </c>
      <c r="J252" s="16">
        <v>123.008</v>
      </c>
    </row>
    <row r="253" spans="1:10" x14ac:dyDescent="0.2">
      <c r="A253" s="23" t="s">
        <v>325</v>
      </c>
      <c r="B253" s="16">
        <v>4760</v>
      </c>
      <c r="C253" s="16">
        <v>-5.8109999999999999</v>
      </c>
      <c r="D253" s="16">
        <v>2419.672</v>
      </c>
      <c r="E253" s="16">
        <v>710.89599999999996</v>
      </c>
      <c r="F253" s="16">
        <v>123.00700000000001</v>
      </c>
      <c r="G253" s="16">
        <v>5.819</v>
      </c>
      <c r="H253" s="16">
        <v>2415.8510000000001</v>
      </c>
      <c r="I253" s="16">
        <v>721.88099999999997</v>
      </c>
      <c r="J253" s="16">
        <v>122.999</v>
      </c>
    </row>
    <row r="254" spans="1:10" x14ac:dyDescent="0.2">
      <c r="A254" s="23" t="s">
        <v>326</v>
      </c>
      <c r="B254" s="16">
        <v>4780</v>
      </c>
      <c r="C254" s="16">
        <v>-5.8289999999999997</v>
      </c>
      <c r="D254" s="16">
        <v>2400.6849999999999</v>
      </c>
      <c r="E254" s="16">
        <v>704.39700000000005</v>
      </c>
      <c r="F254" s="16">
        <v>122.997</v>
      </c>
      <c r="G254" s="16">
        <v>5.8360000000000003</v>
      </c>
      <c r="H254" s="16">
        <v>2396.9830000000002</v>
      </c>
      <c r="I254" s="16">
        <v>715.45899999999995</v>
      </c>
      <c r="J254" s="16">
        <v>122.99</v>
      </c>
    </row>
    <row r="255" spans="1:10" x14ac:dyDescent="0.2">
      <c r="A255" s="23" t="s">
        <v>327</v>
      </c>
      <c r="B255" s="16">
        <v>4800</v>
      </c>
      <c r="C255" s="16">
        <v>-5.8419999999999996</v>
      </c>
      <c r="D255" s="16">
        <v>2381.616</v>
      </c>
      <c r="E255" s="16">
        <v>698.13099999999997</v>
      </c>
      <c r="F255" s="16">
        <v>122.988</v>
      </c>
      <c r="G255" s="16">
        <v>5.85</v>
      </c>
      <c r="H255" s="16">
        <v>2378.0430000000001</v>
      </c>
      <c r="I255" s="16">
        <v>709.26400000000001</v>
      </c>
      <c r="J255" s="16">
        <v>122.98</v>
      </c>
    </row>
    <row r="256" spans="1:10" x14ac:dyDescent="0.2">
      <c r="A256" s="23" t="s">
        <v>328</v>
      </c>
      <c r="B256" s="16">
        <v>4820</v>
      </c>
      <c r="C256" s="16">
        <v>-5.8520000000000003</v>
      </c>
      <c r="D256" s="16">
        <v>2362.4650000000001</v>
      </c>
      <c r="E256" s="16">
        <v>692.10900000000004</v>
      </c>
      <c r="F256" s="16">
        <v>122.97799999999999</v>
      </c>
      <c r="G256" s="16">
        <v>5.86</v>
      </c>
      <c r="H256" s="16">
        <v>2359.0300000000002</v>
      </c>
      <c r="I256" s="16">
        <v>703.30600000000004</v>
      </c>
      <c r="J256" s="16">
        <v>122.97</v>
      </c>
    </row>
    <row r="257" spans="1:10" x14ac:dyDescent="0.2">
      <c r="A257" s="23" t="s">
        <v>329</v>
      </c>
      <c r="B257" s="16">
        <v>4840</v>
      </c>
      <c r="C257" s="16">
        <v>-5.8579999999999997</v>
      </c>
      <c r="D257" s="16">
        <v>2343.232</v>
      </c>
      <c r="E257" s="16">
        <v>686.34299999999996</v>
      </c>
      <c r="F257" s="16">
        <v>122.968</v>
      </c>
      <c r="G257" s="16">
        <v>5.8659999999999997</v>
      </c>
      <c r="H257" s="16">
        <v>2339.9450000000002</v>
      </c>
      <c r="I257" s="16">
        <v>697.596</v>
      </c>
      <c r="J257" s="16">
        <v>122.961</v>
      </c>
    </row>
    <row r="258" spans="1:10" x14ac:dyDescent="0.2">
      <c r="A258" s="23" t="s">
        <v>330</v>
      </c>
      <c r="B258" s="16">
        <v>4860</v>
      </c>
      <c r="C258" s="16">
        <v>-5.86</v>
      </c>
      <c r="D258" s="16">
        <v>2323.9180000000001</v>
      </c>
      <c r="E258" s="16">
        <v>680.84299999999996</v>
      </c>
      <c r="F258" s="16">
        <v>122.958</v>
      </c>
      <c r="G258" s="16">
        <v>5.8680000000000003</v>
      </c>
      <c r="H258" s="16">
        <v>2320.7869999999998</v>
      </c>
      <c r="I258" s="16">
        <v>692.14499999999998</v>
      </c>
      <c r="J258" s="16">
        <v>122.95099999999999</v>
      </c>
    </row>
    <row r="259" spans="1:10" x14ac:dyDescent="0.2">
      <c r="A259" s="23" t="s">
        <v>331</v>
      </c>
      <c r="B259" s="16">
        <v>4880</v>
      </c>
      <c r="C259" s="16">
        <v>-5.8579999999999997</v>
      </c>
      <c r="D259" s="16">
        <v>2304.5239999999999</v>
      </c>
      <c r="E259" s="16">
        <v>675.62199999999996</v>
      </c>
      <c r="F259" s="16">
        <v>122.94799999999999</v>
      </c>
      <c r="G259" s="16">
        <v>5.8659999999999997</v>
      </c>
      <c r="H259" s="16">
        <v>2301.558</v>
      </c>
      <c r="I259" s="16">
        <v>686.96500000000003</v>
      </c>
      <c r="J259" s="16">
        <v>122.94</v>
      </c>
    </row>
    <row r="260" spans="1:10" x14ac:dyDescent="0.2">
      <c r="A260" s="23" t="s">
        <v>332</v>
      </c>
      <c r="B260" s="16">
        <v>4900</v>
      </c>
      <c r="C260" s="16">
        <v>-5.8529999999999998</v>
      </c>
      <c r="D260" s="16">
        <v>2285.0500000000002</v>
      </c>
      <c r="E260" s="16">
        <v>670.69200000000001</v>
      </c>
      <c r="F260" s="16">
        <v>122.937</v>
      </c>
      <c r="G260" s="16">
        <v>5.86</v>
      </c>
      <c r="H260" s="16">
        <v>2282.2579999999998</v>
      </c>
      <c r="I260" s="16">
        <v>682.06700000000001</v>
      </c>
      <c r="J260" s="16">
        <v>122.93</v>
      </c>
    </row>
    <row r="261" spans="1:10" x14ac:dyDescent="0.2">
      <c r="A261" s="23" t="s">
        <v>333</v>
      </c>
      <c r="B261" s="16">
        <v>4920</v>
      </c>
      <c r="C261" s="16">
        <v>-5.8440000000000003</v>
      </c>
      <c r="D261" s="16">
        <v>2265.5</v>
      </c>
      <c r="E261" s="16">
        <v>666.06200000000001</v>
      </c>
      <c r="F261" s="16">
        <v>122.92700000000001</v>
      </c>
      <c r="G261" s="16">
        <v>5.851</v>
      </c>
      <c r="H261" s="16">
        <v>2262.89</v>
      </c>
      <c r="I261" s="16">
        <v>677.46199999999999</v>
      </c>
      <c r="J261" s="16">
        <v>122.919</v>
      </c>
    </row>
    <row r="262" spans="1:10" x14ac:dyDescent="0.2">
      <c r="A262" s="23" t="s">
        <v>334</v>
      </c>
      <c r="B262" s="16">
        <v>4940</v>
      </c>
      <c r="C262" s="16">
        <v>-5.8310000000000004</v>
      </c>
      <c r="D262" s="16">
        <v>2245.875</v>
      </c>
      <c r="E262" s="16">
        <v>661.74699999999996</v>
      </c>
      <c r="F262" s="16">
        <v>122.916</v>
      </c>
      <c r="G262" s="16">
        <v>5.8380000000000001</v>
      </c>
      <c r="H262" s="16">
        <v>2243.4540000000002</v>
      </c>
      <c r="I262" s="16">
        <v>673.16099999999994</v>
      </c>
      <c r="J262" s="16">
        <v>122.90900000000001</v>
      </c>
    </row>
    <row r="263" spans="1:10" s="30" customFormat="1" x14ac:dyDescent="0.2">
      <c r="A263" s="29" t="s">
        <v>335</v>
      </c>
      <c r="B263" s="28">
        <v>4950.8770000000004</v>
      </c>
      <c r="C263" s="28">
        <v>-5.8209999999999997</v>
      </c>
      <c r="D263" s="28">
        <v>2235.172</v>
      </c>
      <c r="E263" s="28">
        <v>659.53599999999994</v>
      </c>
      <c r="F263" s="28">
        <v>122.911</v>
      </c>
      <c r="G263" s="28">
        <v>5.8289999999999997</v>
      </c>
      <c r="H263" s="28">
        <v>2232.857</v>
      </c>
      <c r="I263" s="28">
        <v>670.95399999999995</v>
      </c>
      <c r="J263" s="28">
        <v>122.90300000000001</v>
      </c>
    </row>
    <row r="264" spans="1:10" x14ac:dyDescent="0.2">
      <c r="A264" s="23" t="s">
        <v>336</v>
      </c>
      <c r="B264" s="16">
        <v>4960</v>
      </c>
      <c r="C264" s="16">
        <v>-5.8109999999999999</v>
      </c>
      <c r="D264" s="16">
        <v>2226.1790000000001</v>
      </c>
      <c r="E264" s="16">
        <v>657.75800000000004</v>
      </c>
      <c r="F264" s="16">
        <v>122.907</v>
      </c>
      <c r="G264" s="16">
        <v>5.8209999999999997</v>
      </c>
      <c r="H264" s="16">
        <v>2223.9540000000002</v>
      </c>
      <c r="I264" s="16">
        <v>669.17499999999995</v>
      </c>
      <c r="J264" s="16">
        <v>122.898</v>
      </c>
    </row>
    <row r="265" spans="1:10" x14ac:dyDescent="0.2">
      <c r="A265" s="23" t="s">
        <v>337</v>
      </c>
      <c r="B265" s="16">
        <v>4980</v>
      </c>
      <c r="C265" s="16">
        <v>-5.7880000000000003</v>
      </c>
      <c r="D265" s="16">
        <v>2206.4180000000001</v>
      </c>
      <c r="E265" s="16">
        <v>654.10199999999998</v>
      </c>
      <c r="F265" s="16">
        <v>122.899</v>
      </c>
      <c r="G265" s="16">
        <v>5.8</v>
      </c>
      <c r="H265" s="16">
        <v>2204.3910000000001</v>
      </c>
      <c r="I265" s="16">
        <v>665.51099999999997</v>
      </c>
      <c r="J265" s="16">
        <v>122.887</v>
      </c>
    </row>
    <row r="266" spans="1:10" x14ac:dyDescent="0.2">
      <c r="A266" s="23" t="s">
        <v>338</v>
      </c>
      <c r="B266" s="16">
        <v>5000</v>
      </c>
      <c r="C266" s="16">
        <v>-5.76</v>
      </c>
      <c r="D266" s="16">
        <v>2186.598</v>
      </c>
      <c r="E266" s="16">
        <v>650.78</v>
      </c>
      <c r="F266" s="16">
        <v>122.89</v>
      </c>
      <c r="G266" s="16">
        <v>5.7720000000000002</v>
      </c>
      <c r="H266" s="16">
        <v>2184.7710000000002</v>
      </c>
      <c r="I266" s="16">
        <v>662.16700000000003</v>
      </c>
      <c r="J266" s="16">
        <v>122.878</v>
      </c>
    </row>
    <row r="267" spans="1:10" x14ac:dyDescent="0.2">
      <c r="A267" s="23" t="s">
        <v>339</v>
      </c>
      <c r="B267" s="16">
        <v>5020</v>
      </c>
      <c r="C267" s="16">
        <v>-5.7290000000000001</v>
      </c>
      <c r="D267" s="16">
        <v>2166.7260000000001</v>
      </c>
      <c r="E267" s="16">
        <v>647.79200000000003</v>
      </c>
      <c r="F267" s="16">
        <v>122.881</v>
      </c>
      <c r="G267" s="16">
        <v>5.7409999999999997</v>
      </c>
      <c r="H267" s="16">
        <v>2165.098</v>
      </c>
      <c r="I267" s="16">
        <v>659.14700000000005</v>
      </c>
      <c r="J267" s="16">
        <v>122.87</v>
      </c>
    </row>
    <row r="268" spans="1:10" x14ac:dyDescent="0.2">
      <c r="A268" s="23" t="s">
        <v>340</v>
      </c>
      <c r="B268" s="16">
        <v>5040</v>
      </c>
      <c r="C268" s="16">
        <v>-5.6950000000000003</v>
      </c>
      <c r="D268" s="16">
        <v>2146.8069999999998</v>
      </c>
      <c r="E268" s="16">
        <v>645.14</v>
      </c>
      <c r="F268" s="16">
        <v>122.872</v>
      </c>
      <c r="G268" s="16">
        <v>5.7060000000000004</v>
      </c>
      <c r="H268" s="16">
        <v>2145.377</v>
      </c>
      <c r="I268" s="16">
        <v>656.45100000000002</v>
      </c>
      <c r="J268" s="16">
        <v>122.86</v>
      </c>
    </row>
    <row r="269" spans="1:10" x14ac:dyDescent="0.2">
      <c r="A269" s="23" t="s">
        <v>341</v>
      </c>
      <c r="B269" s="16">
        <v>5060</v>
      </c>
      <c r="C269" s="16">
        <v>-5.657</v>
      </c>
      <c r="D269" s="16">
        <v>2126.846</v>
      </c>
      <c r="E269" s="16">
        <v>642.82399999999996</v>
      </c>
      <c r="F269" s="16">
        <v>122.86199999999999</v>
      </c>
      <c r="G269" s="16">
        <v>5.6680000000000001</v>
      </c>
      <c r="H269" s="16">
        <v>2125.6129999999998</v>
      </c>
      <c r="I269" s="16">
        <v>654.08100000000002</v>
      </c>
      <c r="J269" s="16">
        <v>122.851</v>
      </c>
    </row>
    <row r="270" spans="1:10" x14ac:dyDescent="0.2">
      <c r="A270" s="23" t="s">
        <v>342</v>
      </c>
      <c r="B270" s="16">
        <v>5080</v>
      </c>
      <c r="C270" s="16">
        <v>-5.6150000000000002</v>
      </c>
      <c r="D270" s="16">
        <v>2106.85</v>
      </c>
      <c r="E270" s="16">
        <v>640.84400000000005</v>
      </c>
      <c r="F270" s="16">
        <v>122.852</v>
      </c>
      <c r="G270" s="16">
        <v>5.6260000000000003</v>
      </c>
      <c r="H270" s="16">
        <v>2105.8130000000001</v>
      </c>
      <c r="I270" s="16">
        <v>652.03599999999994</v>
      </c>
      <c r="J270" s="16">
        <v>122.84099999999999</v>
      </c>
    </row>
    <row r="271" spans="1:10" x14ac:dyDescent="0.2">
      <c r="A271" s="23" t="s">
        <v>343</v>
      </c>
      <c r="B271" s="16">
        <v>5100</v>
      </c>
      <c r="C271" s="16">
        <v>-5.569</v>
      </c>
      <c r="D271" s="16">
        <v>2086.8249999999998</v>
      </c>
      <c r="E271" s="16">
        <v>639.20100000000002</v>
      </c>
      <c r="F271" s="16">
        <v>122.842</v>
      </c>
      <c r="G271" s="16">
        <v>5.58</v>
      </c>
      <c r="H271" s="16">
        <v>2085.9810000000002</v>
      </c>
      <c r="I271" s="16">
        <v>650.31899999999996</v>
      </c>
      <c r="J271" s="16">
        <v>122.831</v>
      </c>
    </row>
    <row r="272" spans="1:10" x14ac:dyDescent="0.2">
      <c r="A272" s="23" t="s">
        <v>344</v>
      </c>
      <c r="B272" s="16">
        <v>5113.2979999999998</v>
      </c>
      <c r="C272" s="16">
        <v>-5.5369999999999999</v>
      </c>
      <c r="D272" s="16">
        <v>2073.4960000000001</v>
      </c>
      <c r="E272" s="16">
        <v>638.29600000000005</v>
      </c>
      <c r="F272" s="16">
        <v>122.83499999999999</v>
      </c>
      <c r="G272" s="16">
        <v>5.548</v>
      </c>
      <c r="H272" s="16">
        <v>2072.7800000000002</v>
      </c>
      <c r="I272" s="16">
        <v>649.35699999999997</v>
      </c>
      <c r="J272" s="16">
        <v>122.824</v>
      </c>
    </row>
    <row r="273" spans="1:10" x14ac:dyDescent="0.2">
      <c r="A273" s="23" t="s">
        <v>345</v>
      </c>
      <c r="B273" s="16">
        <v>5120</v>
      </c>
      <c r="C273" s="16">
        <v>-5.52</v>
      </c>
      <c r="D273" s="16">
        <v>2066.8069999999998</v>
      </c>
      <c r="E273" s="16">
        <v>637.88</v>
      </c>
      <c r="F273" s="16">
        <v>122.831</v>
      </c>
      <c r="G273" s="16">
        <v>5.5309999999999997</v>
      </c>
      <c r="H273" s="16">
        <v>2066.0920000000001</v>
      </c>
      <c r="I273" s="16">
        <v>648.90700000000004</v>
      </c>
      <c r="J273" s="16">
        <v>122.82</v>
      </c>
    </row>
    <row r="274" spans="1:10" x14ac:dyDescent="0.2">
      <c r="A274" s="23" t="s">
        <v>346</v>
      </c>
      <c r="B274" s="16">
        <v>5140</v>
      </c>
      <c r="C274" s="16">
        <v>-5.4669999999999996</v>
      </c>
      <c r="D274" s="16">
        <v>2046.845</v>
      </c>
      <c r="E274" s="16">
        <v>636.64</v>
      </c>
      <c r="F274" s="16">
        <v>122.82</v>
      </c>
      <c r="G274" s="16">
        <v>5.4770000000000003</v>
      </c>
      <c r="H274" s="16">
        <v>2046.1379999999999</v>
      </c>
      <c r="I274" s="16">
        <v>647.56100000000004</v>
      </c>
      <c r="J274" s="16">
        <v>122.81</v>
      </c>
    </row>
    <row r="275" spans="1:10" x14ac:dyDescent="0.2">
      <c r="A275" s="23" t="s">
        <v>347</v>
      </c>
      <c r="B275" s="16">
        <v>5160</v>
      </c>
      <c r="C275" s="16">
        <v>-5.4089999999999998</v>
      </c>
      <c r="D275" s="16">
        <v>2026.883</v>
      </c>
      <c r="E275" s="16">
        <v>635.404</v>
      </c>
      <c r="F275" s="16">
        <v>122.81</v>
      </c>
      <c r="G275" s="16">
        <v>5.42</v>
      </c>
      <c r="H275" s="16">
        <v>2026.183</v>
      </c>
      <c r="I275" s="16">
        <v>646.21100000000001</v>
      </c>
      <c r="J275" s="16">
        <v>122.79900000000001</v>
      </c>
    </row>
    <row r="276" spans="1:10" x14ac:dyDescent="0.2">
      <c r="A276" s="23" t="s">
        <v>348</v>
      </c>
      <c r="B276" s="16">
        <v>5180</v>
      </c>
      <c r="C276" s="16">
        <v>-5.3479999999999999</v>
      </c>
      <c r="D276" s="16">
        <v>2006.921</v>
      </c>
      <c r="E276" s="16">
        <v>634.173</v>
      </c>
      <c r="F276" s="16">
        <v>122.79900000000001</v>
      </c>
      <c r="G276" s="16">
        <v>5.359</v>
      </c>
      <c r="H276" s="16">
        <v>2006.229</v>
      </c>
      <c r="I276" s="16">
        <v>644.85699999999997</v>
      </c>
      <c r="J276" s="16">
        <v>122.789</v>
      </c>
    </row>
    <row r="277" spans="1:10" x14ac:dyDescent="0.2">
      <c r="A277" s="23" t="s">
        <v>349</v>
      </c>
      <c r="B277" s="16">
        <v>5200</v>
      </c>
      <c r="C277" s="16">
        <v>-5.2830000000000004</v>
      </c>
      <c r="D277" s="16">
        <v>1986.9590000000001</v>
      </c>
      <c r="E277" s="16">
        <v>632.94500000000005</v>
      </c>
      <c r="F277" s="16">
        <v>122.788</v>
      </c>
      <c r="G277" s="16">
        <v>5.2930000000000001</v>
      </c>
      <c r="H277" s="16">
        <v>1986.2750000000001</v>
      </c>
      <c r="I277" s="16">
        <v>643.49900000000002</v>
      </c>
      <c r="J277" s="16">
        <v>122.77800000000001</v>
      </c>
    </row>
    <row r="278" spans="1:10" x14ac:dyDescent="0.2">
      <c r="A278" s="23" t="s">
        <v>350</v>
      </c>
      <c r="B278" s="16">
        <v>5220</v>
      </c>
      <c r="C278" s="16">
        <v>-5.2140000000000004</v>
      </c>
      <c r="D278" s="16">
        <v>1966.9960000000001</v>
      </c>
      <c r="E278" s="16">
        <v>631.721</v>
      </c>
      <c r="F278" s="16">
        <v>122.77800000000001</v>
      </c>
      <c r="G278" s="16">
        <v>5.2240000000000002</v>
      </c>
      <c r="H278" s="16">
        <v>1966.3209999999999</v>
      </c>
      <c r="I278" s="16">
        <v>642.13699999999994</v>
      </c>
      <c r="J278" s="16">
        <v>122.767</v>
      </c>
    </row>
    <row r="279" spans="1:10" x14ac:dyDescent="0.2">
      <c r="A279" s="23" t="s">
        <v>351</v>
      </c>
      <c r="B279" s="16">
        <v>5240</v>
      </c>
      <c r="C279" s="16">
        <v>-5.14</v>
      </c>
      <c r="D279" s="16">
        <v>1947.0329999999999</v>
      </c>
      <c r="E279" s="16">
        <v>630.50099999999998</v>
      </c>
      <c r="F279" s="16">
        <v>122.767</v>
      </c>
      <c r="G279" s="16">
        <v>5.15</v>
      </c>
      <c r="H279" s="16">
        <v>1946.3679999999999</v>
      </c>
      <c r="I279" s="16">
        <v>640.77099999999996</v>
      </c>
      <c r="J279" s="16">
        <v>122.75700000000001</v>
      </c>
    </row>
    <row r="280" spans="1:10" x14ac:dyDescent="0.2">
      <c r="A280" s="23" t="s">
        <v>352</v>
      </c>
      <c r="B280" s="16">
        <v>5260</v>
      </c>
      <c r="C280" s="16">
        <v>-5.0629999999999997</v>
      </c>
      <c r="D280" s="16">
        <v>1927.07</v>
      </c>
      <c r="E280" s="16">
        <v>629.28599999999994</v>
      </c>
      <c r="F280" s="16">
        <v>122.756</v>
      </c>
      <c r="G280" s="16">
        <v>5.0730000000000004</v>
      </c>
      <c r="H280" s="16">
        <v>1926.415</v>
      </c>
      <c r="I280" s="16">
        <v>639.40099999999995</v>
      </c>
      <c r="J280" s="16">
        <v>122.746</v>
      </c>
    </row>
    <row r="281" spans="1:10" x14ac:dyDescent="0.2">
      <c r="A281" s="23" t="s">
        <v>353</v>
      </c>
      <c r="B281" s="16">
        <v>5280</v>
      </c>
      <c r="C281" s="16">
        <v>-4.9820000000000002</v>
      </c>
      <c r="D281" s="16">
        <v>1907.107</v>
      </c>
      <c r="E281" s="16">
        <v>628.07399999999996</v>
      </c>
      <c r="F281" s="16">
        <v>122.745</v>
      </c>
      <c r="G281" s="16">
        <v>4.992</v>
      </c>
      <c r="H281" s="16">
        <v>1906.462</v>
      </c>
      <c r="I281" s="16">
        <v>638.02700000000004</v>
      </c>
      <c r="J281" s="16">
        <v>122.736</v>
      </c>
    </row>
    <row r="282" spans="1:10" x14ac:dyDescent="0.2">
      <c r="A282" s="23" t="s">
        <v>354</v>
      </c>
      <c r="B282" s="16">
        <v>5300</v>
      </c>
      <c r="C282" s="16">
        <v>-4.8970000000000002</v>
      </c>
      <c r="D282" s="16">
        <v>1887.143</v>
      </c>
      <c r="E282" s="16">
        <v>626.86599999999999</v>
      </c>
      <c r="F282" s="16">
        <v>122.735</v>
      </c>
      <c r="G282" s="16">
        <v>4.9059999999999997</v>
      </c>
      <c r="H282" s="16">
        <v>1886.509</v>
      </c>
      <c r="I282" s="16">
        <v>636.649</v>
      </c>
      <c r="J282" s="16">
        <v>122.72499999999999</v>
      </c>
    </row>
    <row r="283" spans="1:10" x14ac:dyDescent="0.2">
      <c r="A283" s="23" t="s">
        <v>355</v>
      </c>
      <c r="B283" s="16">
        <v>5320</v>
      </c>
      <c r="C283" s="16">
        <v>-4.8079999999999998</v>
      </c>
      <c r="D283" s="16">
        <v>1867.1790000000001</v>
      </c>
      <c r="E283" s="16">
        <v>625.66200000000003</v>
      </c>
      <c r="F283" s="16">
        <v>122.724</v>
      </c>
      <c r="G283" s="16">
        <v>4.8170000000000002</v>
      </c>
      <c r="H283" s="16">
        <v>1866.557</v>
      </c>
      <c r="I283" s="16">
        <v>635.26700000000005</v>
      </c>
      <c r="J283" s="16">
        <v>122.715</v>
      </c>
    </row>
    <row r="284" spans="1:10" x14ac:dyDescent="0.2">
      <c r="A284" s="23" t="s">
        <v>356</v>
      </c>
      <c r="B284" s="16">
        <v>5340</v>
      </c>
      <c r="C284" s="16">
        <v>-4.7140000000000004</v>
      </c>
      <c r="D284" s="16">
        <v>1847.2149999999999</v>
      </c>
      <c r="E284" s="16">
        <v>624.46199999999999</v>
      </c>
      <c r="F284" s="16">
        <v>122.71299999999999</v>
      </c>
      <c r="G284" s="16">
        <v>4.7240000000000002</v>
      </c>
      <c r="H284" s="16">
        <v>1846.605</v>
      </c>
      <c r="I284" s="16">
        <v>633.88099999999997</v>
      </c>
      <c r="J284" s="16">
        <v>122.70399999999999</v>
      </c>
    </row>
    <row r="285" spans="1:10" x14ac:dyDescent="0.2">
      <c r="A285" s="23" t="s">
        <v>357</v>
      </c>
      <c r="B285" s="16">
        <v>5360</v>
      </c>
      <c r="C285" s="16">
        <v>-4.617</v>
      </c>
      <c r="D285" s="16">
        <v>1827.25</v>
      </c>
      <c r="E285" s="16">
        <v>623.26700000000005</v>
      </c>
      <c r="F285" s="16">
        <v>122.702</v>
      </c>
      <c r="G285" s="16">
        <v>4.6260000000000003</v>
      </c>
      <c r="H285" s="16">
        <v>1826.653</v>
      </c>
      <c r="I285" s="16">
        <v>632.49099999999999</v>
      </c>
      <c r="J285" s="16">
        <v>122.693</v>
      </c>
    </row>
    <row r="286" spans="1:10" x14ac:dyDescent="0.2">
      <c r="A286" s="23" t="s">
        <v>358</v>
      </c>
      <c r="B286" s="16">
        <v>5380</v>
      </c>
      <c r="C286" s="16">
        <v>-4.5170000000000003</v>
      </c>
      <c r="D286" s="16">
        <v>1807.2860000000001</v>
      </c>
      <c r="E286" s="16">
        <v>622.07399999999996</v>
      </c>
      <c r="F286" s="16">
        <v>122.69199999999999</v>
      </c>
      <c r="G286" s="16">
        <v>4.5259999999999998</v>
      </c>
      <c r="H286" s="16">
        <v>1806.701</v>
      </c>
      <c r="I286" s="16">
        <v>631.09799999999996</v>
      </c>
      <c r="J286" s="16">
        <v>122.68300000000001</v>
      </c>
    </row>
    <row r="287" spans="1:10" x14ac:dyDescent="0.2">
      <c r="A287" s="23" t="s">
        <v>359</v>
      </c>
      <c r="B287" s="16">
        <v>5400</v>
      </c>
      <c r="C287" s="16">
        <v>-4.4169999999999998</v>
      </c>
      <c r="D287" s="16">
        <v>1787.3209999999999</v>
      </c>
      <c r="E287" s="16">
        <v>620.88099999999997</v>
      </c>
      <c r="F287" s="16">
        <v>122.681</v>
      </c>
      <c r="G287" s="16">
        <v>4.4260000000000002</v>
      </c>
      <c r="H287" s="16">
        <v>1786.749</v>
      </c>
      <c r="I287" s="16">
        <v>629.70500000000004</v>
      </c>
      <c r="J287" s="16">
        <v>122.672</v>
      </c>
    </row>
    <row r="288" spans="1:10" x14ac:dyDescent="0.2">
      <c r="A288" s="23" t="s">
        <v>360</v>
      </c>
      <c r="B288" s="16">
        <v>5420</v>
      </c>
      <c r="C288" s="16">
        <v>-4.3170000000000002</v>
      </c>
      <c r="D288" s="16">
        <v>1767.356</v>
      </c>
      <c r="E288" s="16">
        <v>619.68799999999999</v>
      </c>
      <c r="F288" s="16">
        <v>122.67</v>
      </c>
      <c r="G288" s="16">
        <v>4.3250000000000002</v>
      </c>
      <c r="H288" s="16">
        <v>1766.798</v>
      </c>
      <c r="I288" s="16">
        <v>628.31200000000001</v>
      </c>
      <c r="J288" s="16">
        <v>122.66200000000001</v>
      </c>
    </row>
    <row r="289" spans="1:10" x14ac:dyDescent="0.2">
      <c r="A289" s="23" t="s">
        <v>361</v>
      </c>
      <c r="B289" s="16">
        <v>5440</v>
      </c>
      <c r="C289" s="16">
        <v>-4.2169999999999996</v>
      </c>
      <c r="D289" s="16">
        <v>1747.3920000000001</v>
      </c>
      <c r="E289" s="16">
        <v>618.495</v>
      </c>
      <c r="F289" s="16">
        <v>122.65900000000001</v>
      </c>
      <c r="G289" s="16">
        <v>4.2249999999999996</v>
      </c>
      <c r="H289" s="16">
        <v>1746.846</v>
      </c>
      <c r="I289" s="16">
        <v>626.91899999999998</v>
      </c>
      <c r="J289" s="16">
        <v>122.651</v>
      </c>
    </row>
    <row r="290" spans="1:10" x14ac:dyDescent="0.2">
      <c r="A290" s="23" t="s">
        <v>362</v>
      </c>
      <c r="B290" s="16">
        <v>5460</v>
      </c>
      <c r="C290" s="16">
        <v>-4.1840000000000002</v>
      </c>
      <c r="D290" s="16">
        <v>1727.431</v>
      </c>
      <c r="E290" s="16">
        <v>617.23500000000001</v>
      </c>
      <c r="F290" s="16">
        <v>122.649</v>
      </c>
      <c r="G290" s="16">
        <v>4.1749999999999998</v>
      </c>
      <c r="H290" s="16">
        <v>1726.8910000000001</v>
      </c>
      <c r="I290" s="16">
        <v>625.577</v>
      </c>
      <c r="J290" s="16">
        <v>122.64100000000001</v>
      </c>
    </row>
    <row r="291" spans="1:10" x14ac:dyDescent="0.2">
      <c r="A291" s="23" t="s">
        <v>363</v>
      </c>
      <c r="B291" s="16">
        <v>5480</v>
      </c>
      <c r="C291" s="16">
        <v>-4.2839999999999998</v>
      </c>
      <c r="D291" s="16">
        <v>1707.48</v>
      </c>
      <c r="E291" s="16">
        <v>615.84199999999998</v>
      </c>
      <c r="F291" s="16">
        <v>122.63800000000001</v>
      </c>
      <c r="G291" s="16">
        <v>4.2759999999999998</v>
      </c>
      <c r="H291" s="16">
        <v>1706.9259999999999</v>
      </c>
      <c r="I291" s="16">
        <v>624.38400000000001</v>
      </c>
      <c r="J291" s="16">
        <v>122.63</v>
      </c>
    </row>
    <row r="292" spans="1:10" x14ac:dyDescent="0.2">
      <c r="A292" s="23" t="s">
        <v>364</v>
      </c>
      <c r="B292" s="16">
        <v>5500</v>
      </c>
      <c r="C292" s="16">
        <v>-4.3840000000000003</v>
      </c>
      <c r="D292" s="16">
        <v>1687.528</v>
      </c>
      <c r="E292" s="16">
        <v>614.44899999999996</v>
      </c>
      <c r="F292" s="16">
        <v>122.628</v>
      </c>
      <c r="G292" s="16">
        <v>4.3760000000000003</v>
      </c>
      <c r="H292" s="16">
        <v>1686.962</v>
      </c>
      <c r="I292" s="16">
        <v>623.19100000000003</v>
      </c>
      <c r="J292" s="16">
        <v>122.619</v>
      </c>
    </row>
    <row r="293" spans="1:10" x14ac:dyDescent="0.2">
      <c r="A293" s="23" t="s">
        <v>365</v>
      </c>
      <c r="B293" s="16">
        <v>5520</v>
      </c>
      <c r="C293" s="16">
        <v>-4.4850000000000003</v>
      </c>
      <c r="D293" s="16">
        <v>1667.576</v>
      </c>
      <c r="E293" s="16">
        <v>613.05600000000004</v>
      </c>
      <c r="F293" s="16">
        <v>122.617</v>
      </c>
      <c r="G293" s="16">
        <v>4.476</v>
      </c>
      <c r="H293" s="16">
        <v>1666.9970000000001</v>
      </c>
      <c r="I293" s="16">
        <v>621.99800000000005</v>
      </c>
      <c r="J293" s="16">
        <v>122.608</v>
      </c>
    </row>
    <row r="294" spans="1:10" x14ac:dyDescent="0.2">
      <c r="A294" s="23" t="s">
        <v>366</v>
      </c>
      <c r="B294" s="16">
        <v>5540</v>
      </c>
      <c r="C294" s="16">
        <v>-4.585</v>
      </c>
      <c r="D294" s="16">
        <v>1647.625</v>
      </c>
      <c r="E294" s="16">
        <v>611.66300000000001</v>
      </c>
      <c r="F294" s="16">
        <v>122.607</v>
      </c>
      <c r="G294" s="16">
        <v>4.5759999999999996</v>
      </c>
      <c r="H294" s="16">
        <v>1647.0319999999999</v>
      </c>
      <c r="I294" s="16">
        <v>620.80499999999995</v>
      </c>
      <c r="J294" s="16">
        <v>122.598</v>
      </c>
    </row>
    <row r="295" spans="1:10" x14ac:dyDescent="0.2">
      <c r="A295" s="23" t="s">
        <v>367</v>
      </c>
      <c r="B295" s="16">
        <v>5560</v>
      </c>
      <c r="C295" s="16">
        <v>-4.6849999999999996</v>
      </c>
      <c r="D295" s="16">
        <v>1627.673</v>
      </c>
      <c r="E295" s="16">
        <v>610.27</v>
      </c>
      <c r="F295" s="16">
        <v>122.596</v>
      </c>
      <c r="G295" s="16">
        <v>4.6760000000000002</v>
      </c>
      <c r="H295" s="16">
        <v>1627.068</v>
      </c>
      <c r="I295" s="16">
        <v>619.61199999999997</v>
      </c>
      <c r="J295" s="16">
        <v>122.587</v>
      </c>
    </row>
    <row r="296" spans="1:10" x14ac:dyDescent="0.2">
      <c r="A296" s="23" t="s">
        <v>368</v>
      </c>
      <c r="B296" s="16">
        <v>5580</v>
      </c>
      <c r="C296" s="16">
        <v>-4.7859999999999996</v>
      </c>
      <c r="D296" s="16">
        <v>1607.721</v>
      </c>
      <c r="E296" s="16">
        <v>608.87699999999995</v>
      </c>
      <c r="F296" s="16">
        <v>122.58499999999999</v>
      </c>
      <c r="G296" s="16">
        <v>4.7759999999999998</v>
      </c>
      <c r="H296" s="16">
        <v>1607.1030000000001</v>
      </c>
      <c r="I296" s="16">
        <v>618.41899999999998</v>
      </c>
      <c r="J296" s="16">
        <v>122.57599999999999</v>
      </c>
    </row>
    <row r="297" spans="1:10" x14ac:dyDescent="0.2">
      <c r="A297" s="23" t="s">
        <v>369</v>
      </c>
      <c r="B297" s="16">
        <v>5600</v>
      </c>
      <c r="C297" s="16">
        <v>-4.8860000000000001</v>
      </c>
      <c r="D297" s="16">
        <v>1587.77</v>
      </c>
      <c r="E297" s="16">
        <v>607.48400000000004</v>
      </c>
      <c r="F297" s="16">
        <v>122.575</v>
      </c>
      <c r="G297" s="16">
        <v>4.8769999999999998</v>
      </c>
      <c r="H297" s="16">
        <v>1587.1389999999999</v>
      </c>
      <c r="I297" s="16">
        <v>617.226</v>
      </c>
      <c r="J297" s="16">
        <v>122.565</v>
      </c>
    </row>
    <row r="298" spans="1:10" x14ac:dyDescent="0.2">
      <c r="A298" s="23" t="s">
        <v>370</v>
      </c>
      <c r="B298" s="16">
        <v>5620</v>
      </c>
      <c r="C298" s="16">
        <v>-4.9859999999999998</v>
      </c>
      <c r="D298" s="16">
        <v>1567.818</v>
      </c>
      <c r="E298" s="16">
        <v>606.09100000000001</v>
      </c>
      <c r="F298" s="16">
        <v>122.56399999999999</v>
      </c>
      <c r="G298" s="16">
        <v>4.9770000000000003</v>
      </c>
      <c r="H298" s="16">
        <v>1567.174</v>
      </c>
      <c r="I298" s="16">
        <v>616.03300000000002</v>
      </c>
      <c r="J298" s="16">
        <v>122.55500000000001</v>
      </c>
    </row>
    <row r="299" spans="1:10" x14ac:dyDescent="0.2">
      <c r="A299" s="23" t="s">
        <v>371</v>
      </c>
      <c r="B299" s="16">
        <v>5637.674</v>
      </c>
      <c r="C299" s="16">
        <v>-5.0750000000000002</v>
      </c>
      <c r="D299" s="16">
        <v>1550.1869999999999</v>
      </c>
      <c r="E299" s="16">
        <v>604.86</v>
      </c>
      <c r="F299" s="16">
        <v>122.55500000000001</v>
      </c>
      <c r="G299" s="16">
        <v>5.0650000000000004</v>
      </c>
      <c r="H299" s="16">
        <v>1549.5319999999999</v>
      </c>
      <c r="I299" s="16">
        <v>614.97900000000004</v>
      </c>
      <c r="J299" s="16">
        <v>122.545</v>
      </c>
    </row>
  </sheetData>
  <mergeCells count="7">
    <mergeCell ref="A5:B5"/>
    <mergeCell ref="C5:F5"/>
    <mergeCell ref="A1:J1"/>
    <mergeCell ref="A3:B3"/>
    <mergeCell ref="C3:F3"/>
    <mergeCell ref="A4:B4"/>
    <mergeCell ref="C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O301"/>
  <sheetViews>
    <sheetView topLeftCell="A6" workbookViewId="0">
      <selection activeCell="A28" sqref="A28:XFD28"/>
    </sheetView>
  </sheetViews>
  <sheetFormatPr baseColWidth="10" defaultColWidth="9.140625" defaultRowHeight="12.75" x14ac:dyDescent="0.2"/>
  <cols>
    <col min="1" max="1" width="7.7109375" customWidth="1"/>
    <col min="2" max="2" width="11.140625" customWidth="1"/>
    <col min="3" max="4" width="10.5703125" customWidth="1"/>
    <col min="5" max="6" width="9.140625" customWidth="1"/>
    <col min="7" max="7" width="9.42578125" customWidth="1"/>
    <col min="8" max="9" width="12" customWidth="1"/>
    <col min="10" max="11" width="8" customWidth="1"/>
    <col min="12" max="12" width="7.42578125" customWidth="1"/>
  </cols>
  <sheetData>
    <row r="1" spans="1:14" ht="20.100000000000001" customHeight="1" x14ac:dyDescent="0.2">
      <c r="A1" s="32" t="s">
        <v>373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4" x14ac:dyDescent="0.2">
      <c r="A3" s="31" t="s">
        <v>0</v>
      </c>
      <c r="B3" s="31"/>
      <c r="C3" s="31" t="s">
        <v>1</v>
      </c>
      <c r="D3" s="31"/>
      <c r="E3" s="31"/>
      <c r="F3" s="31"/>
    </row>
    <row r="4" spans="1:14" x14ac:dyDescent="0.2">
      <c r="A4" s="31" t="s">
        <v>2</v>
      </c>
      <c r="B4" s="31"/>
      <c r="C4" s="31" t="s">
        <v>3</v>
      </c>
      <c r="D4" s="31"/>
      <c r="E4" s="31"/>
      <c r="F4" s="31"/>
    </row>
    <row r="5" spans="1:14" x14ac:dyDescent="0.2">
      <c r="A5" s="31" t="s">
        <v>4</v>
      </c>
      <c r="B5" s="31"/>
      <c r="C5" s="31" t="s">
        <v>5</v>
      </c>
      <c r="D5" s="31"/>
      <c r="E5" s="31"/>
      <c r="F5" s="31"/>
    </row>
    <row r="6" spans="1:14" x14ac:dyDescent="0.2">
      <c r="A6" t="s">
        <v>372</v>
      </c>
    </row>
    <row r="8" spans="1:14" x14ac:dyDescent="0.2">
      <c r="A8" s="18" t="s">
        <v>74</v>
      </c>
      <c r="B8" s="18" t="s">
        <v>12</v>
      </c>
      <c r="C8" s="18" t="s">
        <v>374</v>
      </c>
      <c r="D8" s="18" t="s">
        <v>375</v>
      </c>
      <c r="E8" s="18" t="s">
        <v>376</v>
      </c>
      <c r="F8" s="18" t="s">
        <v>377</v>
      </c>
      <c r="G8" s="18" t="s">
        <v>400</v>
      </c>
      <c r="H8" s="18" t="s">
        <v>54</v>
      </c>
      <c r="I8" s="18" t="s">
        <v>55</v>
      </c>
      <c r="J8" s="33" t="s">
        <v>378</v>
      </c>
      <c r="K8" s="34"/>
      <c r="L8" s="18" t="s">
        <v>15</v>
      </c>
    </row>
    <row r="9" spans="1:14" x14ac:dyDescent="0.2">
      <c r="A9" s="22" t="s">
        <v>19</v>
      </c>
      <c r="B9" s="22" t="s">
        <v>19</v>
      </c>
      <c r="C9" s="22" t="s">
        <v>19</v>
      </c>
      <c r="D9" s="22" t="s">
        <v>19</v>
      </c>
      <c r="E9" s="22" t="s">
        <v>19</v>
      </c>
      <c r="F9" s="22" t="s">
        <v>19</v>
      </c>
      <c r="G9" s="22" t="s">
        <v>19</v>
      </c>
      <c r="H9" s="22" t="s">
        <v>19</v>
      </c>
      <c r="I9" s="22" t="s">
        <v>19</v>
      </c>
      <c r="J9" s="18" t="s">
        <v>76</v>
      </c>
      <c r="K9" s="18" t="s">
        <v>379</v>
      </c>
      <c r="L9" s="24" t="s">
        <v>380</v>
      </c>
    </row>
    <row r="10" spans="1:14" x14ac:dyDescent="0.2">
      <c r="A10" s="23" t="s">
        <v>80</v>
      </c>
      <c r="B10" s="16">
        <v>0</v>
      </c>
      <c r="C10" s="2" t="s">
        <v>56</v>
      </c>
      <c r="D10" s="2" t="s">
        <v>14</v>
      </c>
      <c r="E10" s="16">
        <v>123.172</v>
      </c>
      <c r="F10" s="16">
        <v>120.53100000000001</v>
      </c>
      <c r="G10" s="23">
        <v>354.42140000000001</v>
      </c>
      <c r="H10" s="16">
        <v>6799.6130000000003</v>
      </c>
      <c r="I10" s="16">
        <v>1577.4690000000001</v>
      </c>
      <c r="J10" s="23" t="s">
        <v>19</v>
      </c>
      <c r="K10" s="23" t="s">
        <v>19</v>
      </c>
      <c r="L10" s="25">
        <v>0.74</v>
      </c>
      <c r="N10" s="30" t="e" cm="1">
        <f t="array" ref="N10">[1]!ClothoidS_Gt(#REF!,#REF!,#REF!,#REF!,#REF!,#REF!,#REF!,#REF!,#REF!,B10)</f>
        <v>#VALUE!</v>
      </c>
    </row>
    <row r="11" spans="1:14" x14ac:dyDescent="0.2">
      <c r="A11" s="23" t="s">
        <v>81</v>
      </c>
      <c r="B11" s="16">
        <v>20</v>
      </c>
      <c r="C11" s="2" t="s">
        <v>56</v>
      </c>
      <c r="D11" s="2" t="s">
        <v>14</v>
      </c>
      <c r="E11" s="16">
        <v>123.158</v>
      </c>
      <c r="F11" s="16">
        <v>120.679</v>
      </c>
      <c r="G11" s="23">
        <v>354.42140000000001</v>
      </c>
      <c r="H11" s="16">
        <v>6784.5230000000001</v>
      </c>
      <c r="I11" s="16">
        <v>1564.3420000000001</v>
      </c>
      <c r="J11" s="23" t="s">
        <v>19</v>
      </c>
      <c r="K11" s="23" t="s">
        <v>19</v>
      </c>
      <c r="L11" s="25">
        <v>0.74</v>
      </c>
    </row>
    <row r="12" spans="1:14" x14ac:dyDescent="0.2">
      <c r="A12" s="23" t="s">
        <v>82</v>
      </c>
      <c r="B12" s="16">
        <v>40</v>
      </c>
      <c r="C12" s="2" t="s">
        <v>56</v>
      </c>
      <c r="D12" s="2" t="s">
        <v>14</v>
      </c>
      <c r="E12" s="16">
        <v>123.14400000000001</v>
      </c>
      <c r="F12" s="16">
        <v>120.828</v>
      </c>
      <c r="G12" s="23">
        <v>354.42140000000001</v>
      </c>
      <c r="H12" s="16">
        <v>6769.4340000000002</v>
      </c>
      <c r="I12" s="16">
        <v>1551.2149999999999</v>
      </c>
      <c r="J12" s="23" t="s">
        <v>19</v>
      </c>
      <c r="K12" s="23" t="s">
        <v>19</v>
      </c>
      <c r="L12" s="25">
        <v>0.74</v>
      </c>
    </row>
    <row r="13" spans="1:14" x14ac:dyDescent="0.2">
      <c r="A13" s="23" t="s">
        <v>83</v>
      </c>
      <c r="B13" s="16">
        <v>60</v>
      </c>
      <c r="C13" s="2" t="s">
        <v>56</v>
      </c>
      <c r="D13" s="2" t="s">
        <v>14</v>
      </c>
      <c r="E13" s="16">
        <v>123.13</v>
      </c>
      <c r="F13" s="16">
        <v>120.977</v>
      </c>
      <c r="G13" s="23">
        <v>354.42140000000001</v>
      </c>
      <c r="H13" s="16">
        <v>6754.3450000000003</v>
      </c>
      <c r="I13" s="16">
        <v>1538.0889999999999</v>
      </c>
      <c r="J13" s="23" t="s">
        <v>19</v>
      </c>
      <c r="K13" s="23" t="s">
        <v>19</v>
      </c>
      <c r="L13" s="25">
        <v>0.74</v>
      </c>
    </row>
    <row r="14" spans="1:14" x14ac:dyDescent="0.2">
      <c r="A14" s="23" t="s">
        <v>84</v>
      </c>
      <c r="B14" s="16">
        <v>80</v>
      </c>
      <c r="C14" s="2" t="s">
        <v>56</v>
      </c>
      <c r="D14" s="2" t="s">
        <v>14</v>
      </c>
      <c r="E14" s="16">
        <v>123.11499999999999</v>
      </c>
      <c r="F14" s="16">
        <v>121.125</v>
      </c>
      <c r="G14" s="23">
        <v>354.42140000000001</v>
      </c>
      <c r="H14" s="16">
        <v>6739.2550000000001</v>
      </c>
      <c r="I14" s="16">
        <v>1524.962</v>
      </c>
      <c r="J14" s="23" t="s">
        <v>19</v>
      </c>
      <c r="K14" s="23" t="s">
        <v>19</v>
      </c>
      <c r="L14" s="25">
        <v>0.74</v>
      </c>
    </row>
    <row r="15" spans="1:14" x14ac:dyDescent="0.2">
      <c r="A15" s="23" t="s">
        <v>85</v>
      </c>
      <c r="B15" s="16">
        <v>100</v>
      </c>
      <c r="C15" s="2" t="s">
        <v>56</v>
      </c>
      <c r="D15" s="2" t="s">
        <v>14</v>
      </c>
      <c r="E15" s="16">
        <v>123.101</v>
      </c>
      <c r="F15" s="16">
        <v>121.274</v>
      </c>
      <c r="G15" s="23">
        <v>354.42140000000001</v>
      </c>
      <c r="H15" s="16">
        <v>6724.1660000000002</v>
      </c>
      <c r="I15" s="16">
        <v>1511.835</v>
      </c>
      <c r="J15" s="23" t="s">
        <v>19</v>
      </c>
      <c r="K15" s="23" t="s">
        <v>19</v>
      </c>
      <c r="L15" s="25">
        <v>0.74</v>
      </c>
    </row>
    <row r="16" spans="1:14" x14ac:dyDescent="0.2">
      <c r="A16" s="23" t="s">
        <v>86</v>
      </c>
      <c r="B16" s="16">
        <v>120</v>
      </c>
      <c r="C16" s="2" t="s">
        <v>56</v>
      </c>
      <c r="D16" s="2" t="s">
        <v>14</v>
      </c>
      <c r="E16" s="16">
        <v>123.087</v>
      </c>
      <c r="F16" s="16">
        <v>121.422</v>
      </c>
      <c r="G16" s="23">
        <v>354.42140000000001</v>
      </c>
      <c r="H16" s="16">
        <v>6709.076</v>
      </c>
      <c r="I16" s="16">
        <v>1498.7090000000001</v>
      </c>
      <c r="J16" s="23" t="s">
        <v>19</v>
      </c>
      <c r="K16" s="23" t="s">
        <v>19</v>
      </c>
      <c r="L16" s="25">
        <v>0.74</v>
      </c>
    </row>
    <row r="17" spans="1:12" x14ac:dyDescent="0.2">
      <c r="A17" s="23" t="s">
        <v>87</v>
      </c>
      <c r="B17" s="16">
        <v>140</v>
      </c>
      <c r="C17" s="2" t="s">
        <v>56</v>
      </c>
      <c r="D17" s="2" t="s">
        <v>14</v>
      </c>
      <c r="E17" s="16">
        <v>123.07299999999999</v>
      </c>
      <c r="F17" s="16">
        <v>121.571</v>
      </c>
      <c r="G17" s="23">
        <v>354.42140000000001</v>
      </c>
      <c r="H17" s="16">
        <v>6693.9870000000001</v>
      </c>
      <c r="I17" s="16">
        <v>1485.5820000000001</v>
      </c>
      <c r="J17" s="23" t="s">
        <v>19</v>
      </c>
      <c r="K17" s="23" t="s">
        <v>19</v>
      </c>
      <c r="L17" s="25">
        <v>0.74</v>
      </c>
    </row>
    <row r="18" spans="1:12" x14ac:dyDescent="0.2">
      <c r="A18" s="23" t="s">
        <v>88</v>
      </c>
      <c r="B18" s="16">
        <v>160</v>
      </c>
      <c r="C18" s="2" t="s">
        <v>56</v>
      </c>
      <c r="D18" s="2" t="s">
        <v>14</v>
      </c>
      <c r="E18" s="16">
        <v>123.059</v>
      </c>
      <c r="F18" s="16">
        <v>121.71899999999999</v>
      </c>
      <c r="G18" s="23">
        <v>354.42140000000001</v>
      </c>
      <c r="H18" s="16">
        <v>6678.8969999999999</v>
      </c>
      <c r="I18" s="16">
        <v>1472.4549999999999</v>
      </c>
      <c r="J18" s="23" t="s">
        <v>19</v>
      </c>
      <c r="K18" s="23" t="s">
        <v>19</v>
      </c>
      <c r="L18" s="25">
        <v>0.74</v>
      </c>
    </row>
    <row r="19" spans="1:12" x14ac:dyDescent="0.2">
      <c r="A19" s="23" t="s">
        <v>89</v>
      </c>
      <c r="B19" s="16">
        <v>180</v>
      </c>
      <c r="C19" s="2" t="s">
        <v>56</v>
      </c>
      <c r="D19" s="2" t="s">
        <v>14</v>
      </c>
      <c r="E19" s="16">
        <v>123.044</v>
      </c>
      <c r="F19" s="16">
        <v>121.86799999999999</v>
      </c>
      <c r="G19" s="23">
        <v>354.42140000000001</v>
      </c>
      <c r="H19" s="16">
        <v>6663.808</v>
      </c>
      <c r="I19" s="16">
        <v>1459.329</v>
      </c>
      <c r="J19" s="23" t="s">
        <v>19</v>
      </c>
      <c r="K19" s="23" t="s">
        <v>19</v>
      </c>
      <c r="L19" s="25">
        <v>0.74</v>
      </c>
    </row>
    <row r="20" spans="1:12" x14ac:dyDescent="0.2">
      <c r="A20" s="23" t="s">
        <v>90</v>
      </c>
      <c r="B20" s="16">
        <v>200</v>
      </c>
      <c r="C20" s="2" t="s">
        <v>56</v>
      </c>
      <c r="D20" s="2" t="s">
        <v>14</v>
      </c>
      <c r="E20" s="16">
        <v>123.03</v>
      </c>
      <c r="F20" s="16">
        <v>122.01600000000001</v>
      </c>
      <c r="G20" s="23">
        <v>354.42140000000001</v>
      </c>
      <c r="H20" s="16">
        <v>6648.7179999999998</v>
      </c>
      <c r="I20" s="16">
        <v>1446.202</v>
      </c>
      <c r="J20" s="23" t="s">
        <v>19</v>
      </c>
      <c r="K20" s="23" t="s">
        <v>19</v>
      </c>
      <c r="L20" s="25">
        <v>0.74</v>
      </c>
    </row>
    <row r="21" spans="1:12" x14ac:dyDescent="0.2">
      <c r="A21" s="23" t="s">
        <v>91</v>
      </c>
      <c r="B21" s="16">
        <v>220</v>
      </c>
      <c r="C21" s="2" t="s">
        <v>56</v>
      </c>
      <c r="D21" s="2" t="s">
        <v>14</v>
      </c>
      <c r="E21" s="16">
        <v>123.01600000000001</v>
      </c>
      <c r="F21" s="16">
        <v>122.16500000000001</v>
      </c>
      <c r="G21" s="23">
        <v>354.42140000000001</v>
      </c>
      <c r="H21" s="16">
        <v>6633.6289999999999</v>
      </c>
      <c r="I21" s="16">
        <v>1433.076</v>
      </c>
      <c r="J21" s="23" t="s">
        <v>19</v>
      </c>
      <c r="K21" s="23" t="s">
        <v>19</v>
      </c>
      <c r="L21" s="25">
        <v>0.74</v>
      </c>
    </row>
    <row r="22" spans="1:12" x14ac:dyDescent="0.2">
      <c r="A22" s="23" t="s">
        <v>92</v>
      </c>
      <c r="B22" s="16">
        <v>240</v>
      </c>
      <c r="C22" s="2" t="s">
        <v>56</v>
      </c>
      <c r="D22" s="2" t="s">
        <v>14</v>
      </c>
      <c r="E22" s="16">
        <v>123.002</v>
      </c>
      <c r="F22" s="16">
        <v>122.313</v>
      </c>
      <c r="G22" s="23">
        <v>354.42140000000001</v>
      </c>
      <c r="H22" s="16">
        <v>6618.54</v>
      </c>
      <c r="I22" s="16">
        <v>1419.9490000000001</v>
      </c>
      <c r="J22" s="23" t="s">
        <v>19</v>
      </c>
      <c r="K22" s="23" t="s">
        <v>19</v>
      </c>
      <c r="L22" s="25">
        <v>0.74</v>
      </c>
    </row>
    <row r="23" spans="1:12" x14ac:dyDescent="0.2">
      <c r="A23" s="23" t="s">
        <v>93</v>
      </c>
      <c r="B23" s="16">
        <v>260</v>
      </c>
      <c r="C23" s="2" t="s">
        <v>56</v>
      </c>
      <c r="D23" s="2" t="s">
        <v>14</v>
      </c>
      <c r="E23" s="16">
        <v>122.988</v>
      </c>
      <c r="F23" s="16">
        <v>122.462</v>
      </c>
      <c r="G23" s="23">
        <v>354.42140000000001</v>
      </c>
      <c r="H23" s="16">
        <v>6603.45</v>
      </c>
      <c r="I23" s="16">
        <v>1406.8219999999999</v>
      </c>
      <c r="J23" s="23" t="s">
        <v>19</v>
      </c>
      <c r="K23" s="23" t="s">
        <v>19</v>
      </c>
      <c r="L23" s="25">
        <v>0.74</v>
      </c>
    </row>
    <row r="24" spans="1:12" x14ac:dyDescent="0.2">
      <c r="A24" s="23" t="s">
        <v>94</v>
      </c>
      <c r="B24" s="16">
        <v>280</v>
      </c>
      <c r="C24" s="2" t="s">
        <v>56</v>
      </c>
      <c r="D24" s="2" t="s">
        <v>14</v>
      </c>
      <c r="E24" s="16">
        <v>122.973</v>
      </c>
      <c r="F24" s="16">
        <v>122.61</v>
      </c>
      <c r="G24" s="23">
        <v>354.42140000000001</v>
      </c>
      <c r="H24" s="16">
        <v>6588.3609999999999</v>
      </c>
      <c r="I24" s="16">
        <v>1393.6959999999999</v>
      </c>
      <c r="J24" s="23" t="s">
        <v>19</v>
      </c>
      <c r="K24" s="23" t="s">
        <v>19</v>
      </c>
      <c r="L24" s="25">
        <v>0.74</v>
      </c>
    </row>
    <row r="25" spans="1:12" x14ac:dyDescent="0.2">
      <c r="A25" s="23" t="s">
        <v>95</v>
      </c>
      <c r="B25" s="16">
        <v>300</v>
      </c>
      <c r="C25" s="2" t="s">
        <v>56</v>
      </c>
      <c r="D25" s="2" t="s">
        <v>14</v>
      </c>
      <c r="E25" s="16">
        <v>122.959</v>
      </c>
      <c r="F25" s="16">
        <v>122.759</v>
      </c>
      <c r="G25" s="23">
        <v>354.42140000000001</v>
      </c>
      <c r="H25" s="16">
        <v>6573.2709999999997</v>
      </c>
      <c r="I25" s="16">
        <v>1380.569</v>
      </c>
      <c r="J25" s="23" t="s">
        <v>19</v>
      </c>
      <c r="K25" s="23" t="s">
        <v>19</v>
      </c>
      <c r="L25" s="25">
        <v>0.74</v>
      </c>
    </row>
    <row r="26" spans="1:12" x14ac:dyDescent="0.2">
      <c r="A26" s="23" t="s">
        <v>96</v>
      </c>
      <c r="B26" s="16">
        <v>320</v>
      </c>
      <c r="C26" s="2" t="s">
        <v>56</v>
      </c>
      <c r="D26" s="2" t="s">
        <v>14</v>
      </c>
      <c r="E26" s="16">
        <v>122.94499999999999</v>
      </c>
      <c r="F26" s="16">
        <v>122.907</v>
      </c>
      <c r="G26" s="23">
        <v>354.42140000000001</v>
      </c>
      <c r="H26" s="16">
        <v>6558.1819999999998</v>
      </c>
      <c r="I26" s="16">
        <v>1367.442</v>
      </c>
      <c r="J26" s="23" t="s">
        <v>19</v>
      </c>
      <c r="K26" s="23" t="s">
        <v>19</v>
      </c>
      <c r="L26" s="25">
        <v>0.74</v>
      </c>
    </row>
    <row r="27" spans="1:12" x14ac:dyDescent="0.2">
      <c r="A27" s="23" t="s">
        <v>97</v>
      </c>
      <c r="B27" s="16">
        <v>340</v>
      </c>
      <c r="C27" s="2" t="s">
        <v>56</v>
      </c>
      <c r="D27" s="2" t="s">
        <v>16</v>
      </c>
      <c r="E27" s="16">
        <v>122.931</v>
      </c>
      <c r="F27" s="16">
        <v>123.054</v>
      </c>
      <c r="G27" s="23">
        <v>354.42140000000001</v>
      </c>
      <c r="H27" s="16">
        <v>6543.0919999999996</v>
      </c>
      <c r="I27" s="16">
        <v>1354.316</v>
      </c>
      <c r="J27" s="23" t="s">
        <v>19</v>
      </c>
      <c r="K27" s="23" t="s">
        <v>19</v>
      </c>
      <c r="L27" s="25">
        <v>0.72</v>
      </c>
    </row>
    <row r="28" spans="1:12" x14ac:dyDescent="0.2">
      <c r="A28" s="23" t="s">
        <v>98</v>
      </c>
      <c r="B28" s="16">
        <v>360</v>
      </c>
      <c r="C28" s="2" t="s">
        <v>56</v>
      </c>
      <c r="D28" s="2" t="s">
        <v>16</v>
      </c>
      <c r="E28" s="16">
        <v>122.917</v>
      </c>
      <c r="F28" s="16">
        <v>123.194</v>
      </c>
      <c r="G28" s="23">
        <v>354.42140000000001</v>
      </c>
      <c r="H28" s="16">
        <v>6528.0029999999997</v>
      </c>
      <c r="I28" s="16">
        <v>1341.1890000000001</v>
      </c>
      <c r="J28" s="23" t="s">
        <v>19</v>
      </c>
      <c r="K28" s="23" t="s">
        <v>19</v>
      </c>
      <c r="L28" s="25">
        <v>0.68</v>
      </c>
    </row>
    <row r="29" spans="1:12" x14ac:dyDescent="0.2">
      <c r="A29" s="23" t="s">
        <v>99</v>
      </c>
      <c r="B29" s="16">
        <v>380</v>
      </c>
      <c r="C29" s="2" t="s">
        <v>56</v>
      </c>
      <c r="D29" s="2" t="s">
        <v>16</v>
      </c>
      <c r="E29" s="16">
        <v>122.90300000000001</v>
      </c>
      <c r="F29" s="16">
        <v>123.325</v>
      </c>
      <c r="G29" s="23">
        <v>354.42140000000001</v>
      </c>
      <c r="H29" s="16">
        <v>6512.9129999999996</v>
      </c>
      <c r="I29" s="16">
        <v>1328.0630000000001</v>
      </c>
      <c r="J29" s="23" t="s">
        <v>19</v>
      </c>
      <c r="K29" s="23" t="s">
        <v>19</v>
      </c>
      <c r="L29" s="25">
        <v>0.64</v>
      </c>
    </row>
    <row r="30" spans="1:12" x14ac:dyDescent="0.2">
      <c r="A30" s="23" t="s">
        <v>100</v>
      </c>
      <c r="B30" s="16">
        <v>400</v>
      </c>
      <c r="C30" s="2" t="s">
        <v>56</v>
      </c>
      <c r="D30" s="2" t="s">
        <v>16</v>
      </c>
      <c r="E30" s="16">
        <v>122.88800000000001</v>
      </c>
      <c r="F30" s="16">
        <v>123.44799999999999</v>
      </c>
      <c r="G30" s="23">
        <v>354.42140000000001</v>
      </c>
      <c r="H30" s="16">
        <v>6497.8239999999996</v>
      </c>
      <c r="I30" s="16">
        <v>1314.9359999999999</v>
      </c>
      <c r="J30" s="23" t="s">
        <v>19</v>
      </c>
      <c r="K30" s="23" t="s">
        <v>19</v>
      </c>
      <c r="L30" s="25">
        <v>0.6</v>
      </c>
    </row>
    <row r="31" spans="1:12" x14ac:dyDescent="0.2">
      <c r="A31" s="23" t="s">
        <v>101</v>
      </c>
      <c r="B31" s="16">
        <v>420</v>
      </c>
      <c r="C31" s="2" t="s">
        <v>56</v>
      </c>
      <c r="D31" s="2" t="s">
        <v>16</v>
      </c>
      <c r="E31" s="16">
        <v>122.874</v>
      </c>
      <c r="F31" s="16">
        <v>123.56399999999999</v>
      </c>
      <c r="G31" s="23">
        <v>354.42140000000001</v>
      </c>
      <c r="H31" s="16">
        <v>6482.7340000000004</v>
      </c>
      <c r="I31" s="16">
        <v>1301.809</v>
      </c>
      <c r="J31" s="23" t="s">
        <v>19</v>
      </c>
      <c r="K31" s="23" t="s">
        <v>19</v>
      </c>
      <c r="L31" s="25">
        <v>0.56000000000000005</v>
      </c>
    </row>
    <row r="32" spans="1:12" x14ac:dyDescent="0.2">
      <c r="A32" s="23" t="s">
        <v>102</v>
      </c>
      <c r="B32" s="16">
        <v>440</v>
      </c>
      <c r="C32" s="2" t="s">
        <v>56</v>
      </c>
      <c r="D32" s="2" t="s">
        <v>16</v>
      </c>
      <c r="E32" s="16">
        <v>122.86</v>
      </c>
      <c r="F32" s="16">
        <v>123.67100000000001</v>
      </c>
      <c r="G32" s="23">
        <v>354.42140000000001</v>
      </c>
      <c r="H32" s="16">
        <v>6467.6450000000004</v>
      </c>
      <c r="I32" s="16">
        <v>1288.683</v>
      </c>
      <c r="J32" s="23" t="s">
        <v>19</v>
      </c>
      <c r="K32" s="23" t="s">
        <v>19</v>
      </c>
      <c r="L32" s="25">
        <v>0.52</v>
      </c>
    </row>
    <row r="33" spans="1:12" x14ac:dyDescent="0.2">
      <c r="A33" s="23" t="s">
        <v>103</v>
      </c>
      <c r="B33" s="16">
        <v>460</v>
      </c>
      <c r="C33" s="2" t="s">
        <v>56</v>
      </c>
      <c r="D33" s="2" t="s">
        <v>16</v>
      </c>
      <c r="E33" s="16">
        <v>122.85</v>
      </c>
      <c r="F33" s="16">
        <v>123.771</v>
      </c>
      <c r="G33" s="23">
        <v>354.42140000000001</v>
      </c>
      <c r="H33" s="16">
        <v>6452.5559999999996</v>
      </c>
      <c r="I33" s="16">
        <v>1275.556</v>
      </c>
      <c r="J33" s="23" t="s">
        <v>19</v>
      </c>
      <c r="K33" s="23" t="s">
        <v>19</v>
      </c>
      <c r="L33" s="25">
        <v>0.48</v>
      </c>
    </row>
    <row r="34" spans="1:12" x14ac:dyDescent="0.2">
      <c r="A34" s="23" t="s">
        <v>104</v>
      </c>
      <c r="B34" s="16">
        <v>480</v>
      </c>
      <c r="C34" s="2" t="s">
        <v>56</v>
      </c>
      <c r="D34" s="2" t="s">
        <v>16</v>
      </c>
      <c r="E34" s="16">
        <v>122.848</v>
      </c>
      <c r="F34" s="16">
        <v>123.86199999999999</v>
      </c>
      <c r="G34" s="23">
        <v>354.42140000000001</v>
      </c>
      <c r="H34" s="16">
        <v>6437.4660000000003</v>
      </c>
      <c r="I34" s="16">
        <v>1262.4290000000001</v>
      </c>
      <c r="J34" s="23" t="s">
        <v>19</v>
      </c>
      <c r="K34" s="23" t="s">
        <v>19</v>
      </c>
      <c r="L34" s="25">
        <v>0.44</v>
      </c>
    </row>
    <row r="35" spans="1:12" x14ac:dyDescent="0.2">
      <c r="A35" s="23" t="s">
        <v>105</v>
      </c>
      <c r="B35" s="16">
        <v>500</v>
      </c>
      <c r="C35" s="2" t="s">
        <v>56</v>
      </c>
      <c r="D35" s="2" t="s">
        <v>16</v>
      </c>
      <c r="E35" s="16">
        <v>122.846</v>
      </c>
      <c r="F35" s="16">
        <v>123.946</v>
      </c>
      <c r="G35" s="23">
        <v>354.42140000000001</v>
      </c>
      <c r="H35" s="16">
        <v>6422.3770000000004</v>
      </c>
      <c r="I35" s="16">
        <v>1249.3030000000001</v>
      </c>
      <c r="J35" s="23" t="s">
        <v>19</v>
      </c>
      <c r="K35" s="23" t="s">
        <v>19</v>
      </c>
      <c r="L35" s="25">
        <v>0.4</v>
      </c>
    </row>
    <row r="36" spans="1:12" x14ac:dyDescent="0.2">
      <c r="A36" s="23" t="s">
        <v>106</v>
      </c>
      <c r="B36" s="16">
        <v>520</v>
      </c>
      <c r="C36" s="2" t="s">
        <v>56</v>
      </c>
      <c r="D36" s="2" t="s">
        <v>16</v>
      </c>
      <c r="E36" s="16">
        <v>122.84399999999999</v>
      </c>
      <c r="F36" s="16">
        <v>124.021</v>
      </c>
      <c r="G36" s="23">
        <v>354.42140000000001</v>
      </c>
      <c r="H36" s="16">
        <v>6407.2870000000003</v>
      </c>
      <c r="I36" s="16">
        <v>1236.1759999999999</v>
      </c>
      <c r="J36" s="23" t="s">
        <v>19</v>
      </c>
      <c r="K36" s="23" t="s">
        <v>19</v>
      </c>
      <c r="L36" s="25">
        <v>0.36</v>
      </c>
    </row>
    <row r="37" spans="1:12" x14ac:dyDescent="0.2">
      <c r="A37" s="23" t="s">
        <v>107</v>
      </c>
      <c r="B37" s="16">
        <v>540</v>
      </c>
      <c r="C37" s="2" t="s">
        <v>56</v>
      </c>
      <c r="D37" s="2" t="s">
        <v>16</v>
      </c>
      <c r="E37" s="16">
        <v>122.842</v>
      </c>
      <c r="F37" s="16">
        <v>124.089</v>
      </c>
      <c r="G37" s="23">
        <v>354.42140000000001</v>
      </c>
      <c r="H37" s="16">
        <v>6392.1980000000003</v>
      </c>
      <c r="I37" s="16">
        <v>1223.049</v>
      </c>
      <c r="J37" s="23" t="s">
        <v>19</v>
      </c>
      <c r="K37" s="23" t="s">
        <v>19</v>
      </c>
      <c r="L37" s="25">
        <v>0.32</v>
      </c>
    </row>
    <row r="38" spans="1:12" x14ac:dyDescent="0.2">
      <c r="A38" s="23" t="s">
        <v>108</v>
      </c>
      <c r="B38" s="16">
        <v>560</v>
      </c>
      <c r="C38" s="2" t="s">
        <v>56</v>
      </c>
      <c r="D38" s="2" t="s">
        <v>16</v>
      </c>
      <c r="E38" s="16">
        <v>122.84</v>
      </c>
      <c r="F38" s="16">
        <v>124.148</v>
      </c>
      <c r="G38" s="23">
        <v>354.42140000000001</v>
      </c>
      <c r="H38" s="16">
        <v>6377.1080000000002</v>
      </c>
      <c r="I38" s="16">
        <v>1209.923</v>
      </c>
      <c r="J38" s="23" t="s">
        <v>19</v>
      </c>
      <c r="K38" s="23" t="s">
        <v>19</v>
      </c>
      <c r="L38" s="25">
        <v>0.28000000000000003</v>
      </c>
    </row>
    <row r="39" spans="1:12" x14ac:dyDescent="0.2">
      <c r="A39" s="23" t="s">
        <v>109</v>
      </c>
      <c r="B39" s="16">
        <v>580</v>
      </c>
      <c r="C39" s="2" t="s">
        <v>56</v>
      </c>
      <c r="D39" s="2" t="s">
        <v>16</v>
      </c>
      <c r="E39" s="16">
        <v>122.83799999999999</v>
      </c>
      <c r="F39" s="16">
        <v>124.2</v>
      </c>
      <c r="G39" s="23">
        <v>354.42140000000001</v>
      </c>
      <c r="H39" s="16">
        <v>6362.0190000000002</v>
      </c>
      <c r="I39" s="16">
        <v>1196.796</v>
      </c>
      <c r="J39" s="23" t="s">
        <v>19</v>
      </c>
      <c r="K39" s="23" t="s">
        <v>19</v>
      </c>
      <c r="L39" s="25">
        <v>0.24</v>
      </c>
    </row>
    <row r="40" spans="1:12" x14ac:dyDescent="0.2">
      <c r="A40" s="23" t="s">
        <v>110</v>
      </c>
      <c r="B40" s="16">
        <v>600</v>
      </c>
      <c r="C40" s="2" t="s">
        <v>56</v>
      </c>
      <c r="D40" s="2" t="s">
        <v>16</v>
      </c>
      <c r="E40" s="16">
        <v>122.836</v>
      </c>
      <c r="F40" s="16">
        <v>124.24299999999999</v>
      </c>
      <c r="G40" s="23">
        <v>354.42140000000001</v>
      </c>
      <c r="H40" s="16">
        <v>6346.9290000000001</v>
      </c>
      <c r="I40" s="16">
        <v>1183.67</v>
      </c>
      <c r="J40" s="23" t="s">
        <v>19</v>
      </c>
      <c r="K40" s="23" t="s">
        <v>19</v>
      </c>
      <c r="L40" s="25">
        <v>0.2</v>
      </c>
    </row>
    <row r="41" spans="1:12" x14ac:dyDescent="0.2">
      <c r="A41" s="23" t="s">
        <v>111</v>
      </c>
      <c r="B41" s="16">
        <v>620</v>
      </c>
      <c r="C41" s="2" t="s">
        <v>56</v>
      </c>
      <c r="D41" s="2" t="s">
        <v>16</v>
      </c>
      <c r="E41" s="16">
        <v>122.834</v>
      </c>
      <c r="F41" s="16">
        <v>124.279</v>
      </c>
      <c r="G41" s="23">
        <v>354.42140000000001</v>
      </c>
      <c r="H41" s="16">
        <v>6331.84</v>
      </c>
      <c r="I41" s="16">
        <v>1170.5429999999999</v>
      </c>
      <c r="J41" s="23" t="s">
        <v>19</v>
      </c>
      <c r="K41" s="23" t="s">
        <v>19</v>
      </c>
      <c r="L41" s="25">
        <v>0.16</v>
      </c>
    </row>
    <row r="42" spans="1:12" x14ac:dyDescent="0.2">
      <c r="A42" s="23" t="s">
        <v>112</v>
      </c>
      <c r="B42" s="16">
        <v>640</v>
      </c>
      <c r="C42" s="2" t="s">
        <v>56</v>
      </c>
      <c r="D42" s="2" t="s">
        <v>16</v>
      </c>
      <c r="E42" s="16">
        <v>122.83199999999999</v>
      </c>
      <c r="F42" s="16">
        <v>124.306</v>
      </c>
      <c r="G42" s="23">
        <v>354.42140000000001</v>
      </c>
      <c r="H42" s="16">
        <v>6316.7510000000002</v>
      </c>
      <c r="I42" s="16">
        <v>1157.4159999999999</v>
      </c>
      <c r="J42" s="23" t="s">
        <v>19</v>
      </c>
      <c r="K42" s="23" t="s">
        <v>19</v>
      </c>
      <c r="L42" s="25">
        <v>0.12</v>
      </c>
    </row>
    <row r="43" spans="1:12" x14ac:dyDescent="0.2">
      <c r="A43" s="23" t="s">
        <v>113</v>
      </c>
      <c r="B43" s="16">
        <v>660</v>
      </c>
      <c r="C43" s="2" t="s">
        <v>56</v>
      </c>
      <c r="D43" s="2" t="s">
        <v>16</v>
      </c>
      <c r="E43" s="16">
        <v>122.82899999999999</v>
      </c>
      <c r="F43" s="16">
        <v>124.32599999999999</v>
      </c>
      <c r="G43" s="23">
        <v>354.42140000000001</v>
      </c>
      <c r="H43" s="16">
        <v>6301.6610000000001</v>
      </c>
      <c r="I43" s="16">
        <v>1144.29</v>
      </c>
      <c r="J43" s="23" t="s">
        <v>19</v>
      </c>
      <c r="K43" s="23" t="s">
        <v>19</v>
      </c>
      <c r="L43" s="25">
        <v>0.08</v>
      </c>
    </row>
    <row r="44" spans="1:12" x14ac:dyDescent="0.2">
      <c r="A44" s="23" t="s">
        <v>114</v>
      </c>
      <c r="B44" s="16">
        <v>680</v>
      </c>
      <c r="C44" s="2" t="s">
        <v>56</v>
      </c>
      <c r="D44" s="2" t="s">
        <v>16</v>
      </c>
      <c r="E44" s="16">
        <v>122.827</v>
      </c>
      <c r="F44" s="16">
        <v>124.337</v>
      </c>
      <c r="G44" s="23">
        <v>354.42140000000001</v>
      </c>
      <c r="H44" s="16">
        <v>6286.5720000000001</v>
      </c>
      <c r="I44" s="16">
        <v>1131.163</v>
      </c>
      <c r="J44" s="23" t="s">
        <v>19</v>
      </c>
      <c r="K44" s="23" t="s">
        <v>19</v>
      </c>
      <c r="L44" s="25">
        <v>0.04</v>
      </c>
    </row>
    <row r="45" spans="1:12" x14ac:dyDescent="0.2">
      <c r="A45" s="23" t="s">
        <v>115</v>
      </c>
      <c r="B45" s="16">
        <v>700</v>
      </c>
      <c r="C45" s="2" t="s">
        <v>56</v>
      </c>
      <c r="D45" s="2" t="s">
        <v>16</v>
      </c>
      <c r="E45" s="16">
        <v>122.825</v>
      </c>
      <c r="F45" s="16">
        <v>124.34099999999999</v>
      </c>
      <c r="G45" s="23">
        <v>354.42140000000001</v>
      </c>
      <c r="H45" s="16">
        <v>6271.482</v>
      </c>
      <c r="I45" s="16">
        <v>1118.0360000000001</v>
      </c>
      <c r="J45" s="23" t="s">
        <v>19</v>
      </c>
      <c r="K45" s="23" t="s">
        <v>19</v>
      </c>
      <c r="L45" s="25">
        <v>0</v>
      </c>
    </row>
    <row r="46" spans="1:12" x14ac:dyDescent="0.2">
      <c r="A46" s="23" t="s">
        <v>116</v>
      </c>
      <c r="B46" s="16">
        <v>720</v>
      </c>
      <c r="C46" s="2" t="s">
        <v>56</v>
      </c>
      <c r="D46" s="2" t="s">
        <v>16</v>
      </c>
      <c r="E46" s="16">
        <v>122.82299999999999</v>
      </c>
      <c r="F46" s="16">
        <v>124.336</v>
      </c>
      <c r="G46" s="23">
        <v>354.42140000000001</v>
      </c>
      <c r="H46" s="16">
        <v>6256.393</v>
      </c>
      <c r="I46" s="16">
        <v>1104.9100000000001</v>
      </c>
      <c r="J46" s="23" t="s">
        <v>19</v>
      </c>
      <c r="K46" s="23" t="s">
        <v>19</v>
      </c>
      <c r="L46" s="25">
        <v>-0.04</v>
      </c>
    </row>
    <row r="47" spans="1:12" x14ac:dyDescent="0.2">
      <c r="A47" s="23" t="s">
        <v>117</v>
      </c>
      <c r="B47" s="16">
        <v>740</v>
      </c>
      <c r="C47" s="2" t="s">
        <v>56</v>
      </c>
      <c r="D47" s="2" t="s">
        <v>16</v>
      </c>
      <c r="E47" s="16">
        <v>122.821</v>
      </c>
      <c r="F47" s="16">
        <v>124.324</v>
      </c>
      <c r="G47" s="23">
        <v>354.42140000000001</v>
      </c>
      <c r="H47" s="16">
        <v>6241.3029999999999</v>
      </c>
      <c r="I47" s="16">
        <v>1091.7829999999999</v>
      </c>
      <c r="J47" s="23" t="s">
        <v>19</v>
      </c>
      <c r="K47" s="23" t="s">
        <v>19</v>
      </c>
      <c r="L47" s="25">
        <v>-0.08</v>
      </c>
    </row>
    <row r="48" spans="1:12" x14ac:dyDescent="0.2">
      <c r="A48" s="23" t="s">
        <v>118</v>
      </c>
      <c r="B48" s="16">
        <v>760</v>
      </c>
      <c r="C48" s="2" t="s">
        <v>56</v>
      </c>
      <c r="D48" s="2" t="s">
        <v>16</v>
      </c>
      <c r="E48" s="16">
        <v>122.819</v>
      </c>
      <c r="F48" s="16">
        <v>124.303</v>
      </c>
      <c r="G48" s="23">
        <v>354.42140000000001</v>
      </c>
      <c r="H48" s="16">
        <v>6226.2139999999999</v>
      </c>
      <c r="I48" s="16">
        <v>1078.6569999999999</v>
      </c>
      <c r="J48" s="23" t="s">
        <v>19</v>
      </c>
      <c r="K48" s="23" t="s">
        <v>19</v>
      </c>
      <c r="L48" s="25">
        <v>-0.12</v>
      </c>
    </row>
    <row r="49" spans="1:12" x14ac:dyDescent="0.2">
      <c r="A49" s="23" t="s">
        <v>119</v>
      </c>
      <c r="B49" s="16">
        <v>780</v>
      </c>
      <c r="C49" s="2" t="s">
        <v>56</v>
      </c>
      <c r="D49" s="2" t="s">
        <v>16</v>
      </c>
      <c r="E49" s="16">
        <v>122.81699999999999</v>
      </c>
      <c r="F49" s="16">
        <v>124.27500000000001</v>
      </c>
      <c r="G49" s="23">
        <v>354.42140000000001</v>
      </c>
      <c r="H49" s="16">
        <v>6211.1239999999998</v>
      </c>
      <c r="I49" s="16">
        <v>1065.53</v>
      </c>
      <c r="J49" s="23" t="s">
        <v>19</v>
      </c>
      <c r="K49" s="23" t="s">
        <v>19</v>
      </c>
      <c r="L49" s="25">
        <v>-0.16</v>
      </c>
    </row>
    <row r="50" spans="1:12" x14ac:dyDescent="0.2">
      <c r="A50" s="23" t="s">
        <v>120</v>
      </c>
      <c r="B50" s="16">
        <v>800</v>
      </c>
      <c r="C50" s="2" t="s">
        <v>56</v>
      </c>
      <c r="D50" s="2" t="s">
        <v>16</v>
      </c>
      <c r="E50" s="16">
        <v>122.815</v>
      </c>
      <c r="F50" s="16">
        <v>124.238</v>
      </c>
      <c r="G50" s="23">
        <v>354.42140000000001</v>
      </c>
      <c r="H50" s="16">
        <v>6196.0349999999999</v>
      </c>
      <c r="I50" s="16">
        <v>1052.403</v>
      </c>
      <c r="J50" s="23" t="s">
        <v>19</v>
      </c>
      <c r="K50" s="23" t="s">
        <v>19</v>
      </c>
      <c r="L50" s="25">
        <v>-0.2</v>
      </c>
    </row>
    <row r="51" spans="1:12" x14ac:dyDescent="0.2">
      <c r="A51" s="23" t="s">
        <v>121</v>
      </c>
      <c r="B51" s="16">
        <v>801.73599999999999</v>
      </c>
      <c r="C51" s="2" t="s">
        <v>59</v>
      </c>
      <c r="D51" s="2" t="s">
        <v>16</v>
      </c>
      <c r="E51" s="16">
        <v>122.815</v>
      </c>
      <c r="F51" s="16">
        <v>124.235</v>
      </c>
      <c r="G51" s="23">
        <v>354.42140000000001</v>
      </c>
      <c r="H51" s="16">
        <v>6194.7250000000004</v>
      </c>
      <c r="I51" s="16">
        <v>1051.2639999999999</v>
      </c>
      <c r="J51" s="23" t="s">
        <v>19</v>
      </c>
      <c r="K51" s="23" t="s">
        <v>19</v>
      </c>
      <c r="L51" s="25">
        <v>-0.21</v>
      </c>
    </row>
    <row r="52" spans="1:12" x14ac:dyDescent="0.2">
      <c r="A52" s="23" t="s">
        <v>122</v>
      </c>
      <c r="B52" s="16">
        <v>820</v>
      </c>
      <c r="C52" s="2" t="s">
        <v>59</v>
      </c>
      <c r="D52" s="2" t="s">
        <v>16</v>
      </c>
      <c r="E52" s="16">
        <v>122.813</v>
      </c>
      <c r="F52" s="16">
        <v>124.194</v>
      </c>
      <c r="G52" s="23">
        <v>355.58420000000001</v>
      </c>
      <c r="H52" s="16">
        <v>6180.8370000000004</v>
      </c>
      <c r="I52" s="16">
        <v>1039.403</v>
      </c>
      <c r="J52" s="23" t="s">
        <v>19</v>
      </c>
      <c r="K52" s="23" t="s">
        <v>19</v>
      </c>
      <c r="L52" s="25">
        <v>-0.24</v>
      </c>
    </row>
    <row r="53" spans="1:12" x14ac:dyDescent="0.2">
      <c r="A53" s="23" t="s">
        <v>123</v>
      </c>
      <c r="B53" s="16">
        <v>840</v>
      </c>
      <c r="C53" s="2" t="s">
        <v>59</v>
      </c>
      <c r="D53" s="2" t="s">
        <v>16</v>
      </c>
      <c r="E53" s="16">
        <v>122.81</v>
      </c>
      <c r="F53" s="16">
        <v>124.14100000000001</v>
      </c>
      <c r="G53" s="23">
        <v>356.85739999999998</v>
      </c>
      <c r="H53" s="16">
        <v>6165.3829999999998</v>
      </c>
      <c r="I53" s="16">
        <v>1026.7080000000001</v>
      </c>
      <c r="J53" s="23" t="s">
        <v>19</v>
      </c>
      <c r="K53" s="23" t="s">
        <v>19</v>
      </c>
      <c r="L53" s="25">
        <v>-0.28000000000000003</v>
      </c>
    </row>
    <row r="54" spans="1:12" x14ac:dyDescent="0.2">
      <c r="A54" s="23" t="s">
        <v>124</v>
      </c>
      <c r="B54" s="16">
        <v>860</v>
      </c>
      <c r="C54" s="2" t="s">
        <v>59</v>
      </c>
      <c r="D54" s="2" t="s">
        <v>16</v>
      </c>
      <c r="E54" s="16">
        <v>122.806</v>
      </c>
      <c r="F54" s="16">
        <v>124.081</v>
      </c>
      <c r="G54" s="23">
        <v>358.13069999999999</v>
      </c>
      <c r="H54" s="16">
        <v>6149.6779999999999</v>
      </c>
      <c r="I54" s="16">
        <v>1014.325</v>
      </c>
      <c r="J54" s="23" t="s">
        <v>19</v>
      </c>
      <c r="K54" s="23" t="s">
        <v>19</v>
      </c>
      <c r="L54" s="25">
        <v>-0.32</v>
      </c>
    </row>
    <row r="55" spans="1:12" x14ac:dyDescent="0.2">
      <c r="A55" s="23" t="s">
        <v>125</v>
      </c>
      <c r="B55" s="16">
        <v>880</v>
      </c>
      <c r="C55" s="2" t="s">
        <v>59</v>
      </c>
      <c r="D55" s="2" t="s">
        <v>16</v>
      </c>
      <c r="E55" s="16">
        <v>122.803</v>
      </c>
      <c r="F55" s="16">
        <v>124.012</v>
      </c>
      <c r="G55" s="23">
        <v>359.40390000000002</v>
      </c>
      <c r="H55" s="16">
        <v>6133.7280000000001</v>
      </c>
      <c r="I55" s="16">
        <v>1002.259</v>
      </c>
      <c r="J55" s="23" t="s">
        <v>19</v>
      </c>
      <c r="K55" s="23" t="s">
        <v>19</v>
      </c>
      <c r="L55" s="25">
        <v>-0.36</v>
      </c>
    </row>
    <row r="56" spans="1:12" x14ac:dyDescent="0.2">
      <c r="A56" s="23" t="s">
        <v>126</v>
      </c>
      <c r="B56" s="16">
        <v>900</v>
      </c>
      <c r="C56" s="2" t="s">
        <v>59</v>
      </c>
      <c r="D56" s="2" t="s">
        <v>16</v>
      </c>
      <c r="E56" s="16">
        <v>122.798</v>
      </c>
      <c r="F56" s="16">
        <v>123.93600000000001</v>
      </c>
      <c r="G56" s="23">
        <v>360.6771</v>
      </c>
      <c r="H56" s="16">
        <v>6117.5410000000002</v>
      </c>
      <c r="I56" s="16">
        <v>990.51300000000003</v>
      </c>
      <c r="J56" s="23" t="s">
        <v>19</v>
      </c>
      <c r="K56" s="23" t="s">
        <v>19</v>
      </c>
      <c r="L56" s="25">
        <v>-0.4</v>
      </c>
    </row>
    <row r="57" spans="1:12" x14ac:dyDescent="0.2">
      <c r="A57" s="23" t="s">
        <v>127</v>
      </c>
      <c r="B57" s="16">
        <v>920</v>
      </c>
      <c r="C57" s="2" t="s">
        <v>59</v>
      </c>
      <c r="D57" s="2" t="s">
        <v>16</v>
      </c>
      <c r="E57" s="16">
        <v>122.79300000000001</v>
      </c>
      <c r="F57" s="16">
        <v>123.851</v>
      </c>
      <c r="G57" s="23">
        <v>361.9504</v>
      </c>
      <c r="H57" s="16">
        <v>6101.1220000000003</v>
      </c>
      <c r="I57" s="16">
        <v>979.09400000000005</v>
      </c>
      <c r="J57" s="23" t="s">
        <v>19</v>
      </c>
      <c r="K57" s="23" t="s">
        <v>19</v>
      </c>
      <c r="L57" s="25">
        <v>-0.44</v>
      </c>
    </row>
    <row r="58" spans="1:12" x14ac:dyDescent="0.2">
      <c r="A58" s="23" t="s">
        <v>128</v>
      </c>
      <c r="B58" s="16">
        <v>940</v>
      </c>
      <c r="C58" s="2" t="s">
        <v>59</v>
      </c>
      <c r="D58" s="2" t="s">
        <v>16</v>
      </c>
      <c r="E58" s="16">
        <v>122.788</v>
      </c>
      <c r="F58" s="16">
        <v>123.758</v>
      </c>
      <c r="G58" s="23">
        <v>363.22359999999998</v>
      </c>
      <c r="H58" s="16">
        <v>6084.4769999999999</v>
      </c>
      <c r="I58" s="16">
        <v>968.00599999999997</v>
      </c>
      <c r="J58" s="23" t="s">
        <v>19</v>
      </c>
      <c r="K58" s="23" t="s">
        <v>19</v>
      </c>
      <c r="L58" s="25">
        <v>-0.48</v>
      </c>
    </row>
    <row r="59" spans="1:12" x14ac:dyDescent="0.2">
      <c r="A59" s="23" t="s">
        <v>129</v>
      </c>
      <c r="B59" s="16">
        <v>960</v>
      </c>
      <c r="C59" s="2" t="s">
        <v>59</v>
      </c>
      <c r="D59" s="2" t="s">
        <v>16</v>
      </c>
      <c r="E59" s="16">
        <v>122.782</v>
      </c>
      <c r="F59" s="16">
        <v>123.658</v>
      </c>
      <c r="G59" s="23">
        <v>364.49689999999998</v>
      </c>
      <c r="H59" s="16">
        <v>6067.6149999999998</v>
      </c>
      <c r="I59" s="16">
        <v>957.25199999999995</v>
      </c>
      <c r="J59" s="23" t="s">
        <v>19</v>
      </c>
      <c r="K59" s="23" t="s">
        <v>19</v>
      </c>
      <c r="L59" s="25">
        <v>-0.52</v>
      </c>
    </row>
    <row r="60" spans="1:12" x14ac:dyDescent="0.2">
      <c r="A60" s="23" t="s">
        <v>130</v>
      </c>
      <c r="B60" s="16">
        <v>980</v>
      </c>
      <c r="C60" s="2" t="s">
        <v>59</v>
      </c>
      <c r="D60" s="2" t="s">
        <v>24</v>
      </c>
      <c r="E60" s="16">
        <v>122.776</v>
      </c>
      <c r="F60" s="16">
        <v>123.551</v>
      </c>
      <c r="G60" s="23">
        <v>365.77010000000001</v>
      </c>
      <c r="H60" s="16">
        <v>6050.54</v>
      </c>
      <c r="I60" s="16">
        <v>946.83799999999997</v>
      </c>
      <c r="J60" s="23" t="s">
        <v>19</v>
      </c>
      <c r="K60" s="23" t="s">
        <v>19</v>
      </c>
      <c r="L60" s="25">
        <v>-0.54</v>
      </c>
    </row>
    <row r="61" spans="1:12" x14ac:dyDescent="0.2">
      <c r="A61" s="23" t="s">
        <v>131</v>
      </c>
      <c r="B61" s="16">
        <v>1000</v>
      </c>
      <c r="C61" s="2" t="s">
        <v>59</v>
      </c>
      <c r="D61" s="2" t="s">
        <v>24</v>
      </c>
      <c r="E61" s="16">
        <v>122.76900000000001</v>
      </c>
      <c r="F61" s="16">
        <v>123.44199999999999</v>
      </c>
      <c r="G61" s="23">
        <v>367.04329999999999</v>
      </c>
      <c r="H61" s="16">
        <v>6033.2610000000004</v>
      </c>
      <c r="I61" s="16">
        <v>936.76800000000003</v>
      </c>
      <c r="J61" s="23" t="s">
        <v>19</v>
      </c>
      <c r="K61" s="23" t="s">
        <v>19</v>
      </c>
      <c r="L61" s="25">
        <v>-0.54</v>
      </c>
    </row>
    <row r="62" spans="1:12" x14ac:dyDescent="0.2">
      <c r="A62" s="23" t="s">
        <v>132</v>
      </c>
      <c r="B62" s="16">
        <v>1020</v>
      </c>
      <c r="C62" s="2" t="s">
        <v>59</v>
      </c>
      <c r="D62" s="2" t="s">
        <v>24</v>
      </c>
      <c r="E62" s="16">
        <v>122.762</v>
      </c>
      <c r="F62" s="16">
        <v>123.334</v>
      </c>
      <c r="G62" s="23">
        <v>368.31659999999999</v>
      </c>
      <c r="H62" s="16">
        <v>6015.7839999999997</v>
      </c>
      <c r="I62" s="16">
        <v>927.04499999999996</v>
      </c>
      <c r="J62" s="23" t="s">
        <v>19</v>
      </c>
      <c r="K62" s="23" t="s">
        <v>19</v>
      </c>
      <c r="L62" s="25">
        <v>-0.54</v>
      </c>
    </row>
    <row r="63" spans="1:12" x14ac:dyDescent="0.2">
      <c r="A63" s="23" t="s">
        <v>133</v>
      </c>
      <c r="B63" s="16">
        <v>1040</v>
      </c>
      <c r="C63" s="2" t="s">
        <v>59</v>
      </c>
      <c r="D63" s="2" t="s">
        <v>24</v>
      </c>
      <c r="E63" s="16">
        <v>122.754</v>
      </c>
      <c r="F63" s="16">
        <v>123.226</v>
      </c>
      <c r="G63" s="23">
        <v>369.58980000000003</v>
      </c>
      <c r="H63" s="16">
        <v>5998.116</v>
      </c>
      <c r="I63" s="16">
        <v>917.67399999999998</v>
      </c>
      <c r="J63" s="23" t="s">
        <v>19</v>
      </c>
      <c r="K63" s="23" t="s">
        <v>19</v>
      </c>
      <c r="L63" s="25">
        <v>-0.54</v>
      </c>
    </row>
    <row r="64" spans="1:12" x14ac:dyDescent="0.2">
      <c r="A64" s="23" t="s">
        <v>134</v>
      </c>
      <c r="B64" s="16">
        <v>1060</v>
      </c>
      <c r="C64" s="2" t="s">
        <v>59</v>
      </c>
      <c r="D64" s="2" t="s">
        <v>24</v>
      </c>
      <c r="E64" s="16">
        <v>122.746</v>
      </c>
      <c r="F64" s="16">
        <v>123.11799999999999</v>
      </c>
      <c r="G64" s="23">
        <v>370.86309999999997</v>
      </c>
      <c r="H64" s="16">
        <v>5980.2640000000001</v>
      </c>
      <c r="I64" s="16">
        <v>908.65700000000004</v>
      </c>
      <c r="J64" s="23" t="s">
        <v>19</v>
      </c>
      <c r="K64" s="23" t="s">
        <v>19</v>
      </c>
      <c r="L64" s="25">
        <v>-0.54</v>
      </c>
    </row>
    <row r="65" spans="1:12" x14ac:dyDescent="0.2">
      <c r="A65" s="23" t="s">
        <v>135</v>
      </c>
      <c r="B65" s="16">
        <v>1080</v>
      </c>
      <c r="C65" s="2" t="s">
        <v>59</v>
      </c>
      <c r="D65" s="2" t="s">
        <v>24</v>
      </c>
      <c r="E65" s="16">
        <v>122.73699999999999</v>
      </c>
      <c r="F65" s="16">
        <v>123.009</v>
      </c>
      <c r="G65" s="23">
        <v>372.13630000000001</v>
      </c>
      <c r="H65" s="16">
        <v>5962.2349999999997</v>
      </c>
      <c r="I65" s="16">
        <v>900</v>
      </c>
      <c r="J65" s="23" t="s">
        <v>19</v>
      </c>
      <c r="K65" s="23" t="s">
        <v>19</v>
      </c>
      <c r="L65" s="25">
        <v>-0.54</v>
      </c>
    </row>
    <row r="66" spans="1:12" x14ac:dyDescent="0.2">
      <c r="A66" s="23" t="s">
        <v>136</v>
      </c>
      <c r="B66" s="16">
        <v>1100</v>
      </c>
      <c r="C66" s="2" t="s">
        <v>59</v>
      </c>
      <c r="D66" s="2" t="s">
        <v>24</v>
      </c>
      <c r="E66" s="16">
        <v>122.72799999999999</v>
      </c>
      <c r="F66" s="16">
        <v>122.901</v>
      </c>
      <c r="G66" s="23">
        <v>373.40949999999998</v>
      </c>
      <c r="H66" s="16">
        <v>5944.0370000000003</v>
      </c>
      <c r="I66" s="16">
        <v>891.70500000000004</v>
      </c>
      <c r="J66" s="23" t="s">
        <v>19</v>
      </c>
      <c r="K66" s="23" t="s">
        <v>19</v>
      </c>
      <c r="L66" s="25">
        <v>-0.54</v>
      </c>
    </row>
    <row r="67" spans="1:12" x14ac:dyDescent="0.2">
      <c r="A67" s="23" t="s">
        <v>137</v>
      </c>
      <c r="B67" s="16">
        <v>1120</v>
      </c>
      <c r="C67" s="2" t="s">
        <v>59</v>
      </c>
      <c r="D67" s="2" t="s">
        <v>24</v>
      </c>
      <c r="E67" s="16">
        <v>122.718</v>
      </c>
      <c r="F67" s="16">
        <v>122.79300000000001</v>
      </c>
      <c r="G67" s="23">
        <v>374.68279999999999</v>
      </c>
      <c r="H67" s="16">
        <v>5925.6760000000004</v>
      </c>
      <c r="I67" s="16">
        <v>883.77499999999998</v>
      </c>
      <c r="J67" s="23" t="s">
        <v>19</v>
      </c>
      <c r="K67" s="23" t="s">
        <v>19</v>
      </c>
      <c r="L67" s="25">
        <v>-0.54</v>
      </c>
    </row>
    <row r="68" spans="1:12" x14ac:dyDescent="0.2">
      <c r="A68" s="23" t="s">
        <v>138</v>
      </c>
      <c r="B68" s="16">
        <v>1140</v>
      </c>
      <c r="C68" s="2" t="s">
        <v>59</v>
      </c>
      <c r="D68" s="2" t="s">
        <v>24</v>
      </c>
      <c r="E68" s="16">
        <v>122.708</v>
      </c>
      <c r="F68" s="16">
        <v>122.685</v>
      </c>
      <c r="G68" s="23">
        <v>375.95600000000002</v>
      </c>
      <c r="H68" s="16">
        <v>5907.1610000000001</v>
      </c>
      <c r="I68" s="16">
        <v>876.21500000000003</v>
      </c>
      <c r="J68" s="23" t="s">
        <v>19</v>
      </c>
      <c r="K68" s="23" t="s">
        <v>19</v>
      </c>
      <c r="L68" s="25">
        <v>-0.54</v>
      </c>
    </row>
    <row r="69" spans="1:12" x14ac:dyDescent="0.2">
      <c r="A69" s="23" t="s">
        <v>139</v>
      </c>
      <c r="B69" s="16">
        <v>1160</v>
      </c>
      <c r="C69" s="2" t="s">
        <v>59</v>
      </c>
      <c r="D69" s="2" t="s">
        <v>24</v>
      </c>
      <c r="E69" s="16">
        <v>122.697</v>
      </c>
      <c r="F69" s="16">
        <v>122.57599999999999</v>
      </c>
      <c r="G69" s="23">
        <v>377.22919999999999</v>
      </c>
      <c r="H69" s="16">
        <v>5888.4979999999996</v>
      </c>
      <c r="I69" s="16">
        <v>869.02599999999995</v>
      </c>
      <c r="J69" s="23" t="s">
        <v>19</v>
      </c>
      <c r="K69" s="23" t="s">
        <v>19</v>
      </c>
      <c r="L69" s="25">
        <v>-0.54</v>
      </c>
    </row>
    <row r="70" spans="1:12" x14ac:dyDescent="0.2">
      <c r="A70" s="23" t="s">
        <v>140</v>
      </c>
      <c r="B70" s="16">
        <v>1180</v>
      </c>
      <c r="C70" s="2" t="s">
        <v>59</v>
      </c>
      <c r="D70" s="2" t="s">
        <v>24</v>
      </c>
      <c r="E70" s="16">
        <v>122.68600000000001</v>
      </c>
      <c r="F70" s="16">
        <v>122.468</v>
      </c>
      <c r="G70" s="23">
        <v>378.5025</v>
      </c>
      <c r="H70" s="16">
        <v>5869.6949999999997</v>
      </c>
      <c r="I70" s="16">
        <v>862.21100000000001</v>
      </c>
      <c r="J70" s="23" t="s">
        <v>19</v>
      </c>
      <c r="K70" s="23" t="s">
        <v>19</v>
      </c>
      <c r="L70" s="25">
        <v>-0.54</v>
      </c>
    </row>
    <row r="71" spans="1:12" x14ac:dyDescent="0.2">
      <c r="A71" s="23" t="s">
        <v>141</v>
      </c>
      <c r="B71" s="16">
        <v>1200</v>
      </c>
      <c r="C71" s="2" t="s">
        <v>59</v>
      </c>
      <c r="D71" s="2" t="s">
        <v>24</v>
      </c>
      <c r="E71" s="16">
        <v>122.67400000000001</v>
      </c>
      <c r="F71" s="16">
        <v>122.36</v>
      </c>
      <c r="G71" s="23">
        <v>379.77569999999997</v>
      </c>
      <c r="H71" s="16">
        <v>5850.759</v>
      </c>
      <c r="I71" s="16">
        <v>855.774</v>
      </c>
      <c r="J71" s="23" t="s">
        <v>19</v>
      </c>
      <c r="K71" s="23" t="s">
        <v>19</v>
      </c>
      <c r="L71" s="25">
        <v>-0.54</v>
      </c>
    </row>
    <row r="72" spans="1:12" x14ac:dyDescent="0.2">
      <c r="A72" s="23" t="s">
        <v>142</v>
      </c>
      <c r="B72" s="16">
        <v>1220</v>
      </c>
      <c r="C72" s="2" t="s">
        <v>59</v>
      </c>
      <c r="D72" s="2" t="s">
        <v>24</v>
      </c>
      <c r="E72" s="16">
        <v>122.66200000000001</v>
      </c>
      <c r="F72" s="16">
        <v>122.252</v>
      </c>
      <c r="G72" s="23">
        <v>381.04899999999998</v>
      </c>
      <c r="H72" s="16">
        <v>5831.6989999999996</v>
      </c>
      <c r="I72" s="16">
        <v>849.71799999999996</v>
      </c>
      <c r="J72" s="23" t="s">
        <v>19</v>
      </c>
      <c r="K72" s="23" t="s">
        <v>19</v>
      </c>
      <c r="L72" s="25">
        <v>-0.54</v>
      </c>
    </row>
    <row r="73" spans="1:12" x14ac:dyDescent="0.2">
      <c r="A73" s="23" t="s">
        <v>143</v>
      </c>
      <c r="B73" s="16">
        <v>1240</v>
      </c>
      <c r="C73" s="2" t="s">
        <v>59</v>
      </c>
      <c r="D73" s="2" t="s">
        <v>26</v>
      </c>
      <c r="E73" s="16">
        <v>122.65</v>
      </c>
      <c r="F73" s="16">
        <v>122.14400000000001</v>
      </c>
      <c r="G73" s="23">
        <v>382.32220000000001</v>
      </c>
      <c r="H73" s="16">
        <v>5812.5209999999997</v>
      </c>
      <c r="I73" s="16">
        <v>844.04300000000001</v>
      </c>
      <c r="J73" s="23" t="s">
        <v>19</v>
      </c>
      <c r="K73" s="23" t="s">
        <v>19</v>
      </c>
      <c r="L73" s="25">
        <v>-0.53</v>
      </c>
    </row>
    <row r="74" spans="1:12" x14ac:dyDescent="0.2">
      <c r="A74" s="23" t="s">
        <v>144</v>
      </c>
      <c r="B74" s="16">
        <v>1260</v>
      </c>
      <c r="C74" s="2" t="s">
        <v>59</v>
      </c>
      <c r="D74" s="2" t="s">
        <v>26</v>
      </c>
      <c r="E74" s="16">
        <v>122.637</v>
      </c>
      <c r="F74" s="16">
        <v>122.041</v>
      </c>
      <c r="G74" s="23">
        <v>383.59539999999998</v>
      </c>
      <c r="H74" s="16">
        <v>5793.2330000000002</v>
      </c>
      <c r="I74" s="16">
        <v>838.75300000000004</v>
      </c>
      <c r="J74" s="23" t="s">
        <v>19</v>
      </c>
      <c r="K74" s="23" t="s">
        <v>19</v>
      </c>
      <c r="L74" s="25">
        <v>-0.5</v>
      </c>
    </row>
    <row r="75" spans="1:12" x14ac:dyDescent="0.2">
      <c r="A75" s="23" t="s">
        <v>145</v>
      </c>
      <c r="B75" s="16">
        <v>1280</v>
      </c>
      <c r="C75" s="2" t="s">
        <v>59</v>
      </c>
      <c r="D75" s="2" t="s">
        <v>26</v>
      </c>
      <c r="E75" s="16">
        <v>122.63200000000001</v>
      </c>
      <c r="F75" s="16">
        <v>121.94199999999999</v>
      </c>
      <c r="G75" s="23">
        <v>384.86869999999999</v>
      </c>
      <c r="H75" s="16">
        <v>5773.8440000000001</v>
      </c>
      <c r="I75" s="16">
        <v>833.85</v>
      </c>
      <c r="J75" s="23" t="s">
        <v>19</v>
      </c>
      <c r="K75" s="23" t="s">
        <v>19</v>
      </c>
      <c r="L75" s="25">
        <v>-0.48</v>
      </c>
    </row>
    <row r="76" spans="1:12" x14ac:dyDescent="0.2">
      <c r="A76" s="23" t="s">
        <v>146</v>
      </c>
      <c r="B76" s="16">
        <v>1300</v>
      </c>
      <c r="C76" s="2" t="s">
        <v>59</v>
      </c>
      <c r="D76" s="2" t="s">
        <v>26</v>
      </c>
      <c r="E76" s="16">
        <v>122.634</v>
      </c>
      <c r="F76" s="16">
        <v>121.85</v>
      </c>
      <c r="G76" s="23">
        <v>386.14190000000002</v>
      </c>
      <c r="H76" s="16">
        <v>5754.3609999999999</v>
      </c>
      <c r="I76" s="16">
        <v>829.33600000000001</v>
      </c>
      <c r="J76" s="23" t="s">
        <v>19</v>
      </c>
      <c r="K76" s="23" t="s">
        <v>19</v>
      </c>
      <c r="L76" s="25">
        <v>-0.45</v>
      </c>
    </row>
    <row r="77" spans="1:12" x14ac:dyDescent="0.2">
      <c r="A77" s="23" t="s">
        <v>147</v>
      </c>
      <c r="B77" s="16">
        <v>1320</v>
      </c>
      <c r="C77" s="2" t="s">
        <v>59</v>
      </c>
      <c r="D77" s="2" t="s">
        <v>26</v>
      </c>
      <c r="E77" s="16">
        <v>122.637</v>
      </c>
      <c r="F77" s="16">
        <v>121.762</v>
      </c>
      <c r="G77" s="23">
        <v>387.41520000000003</v>
      </c>
      <c r="H77" s="16">
        <v>5734.7910000000002</v>
      </c>
      <c r="I77" s="16">
        <v>825.21199999999999</v>
      </c>
      <c r="J77" s="23" t="s">
        <v>19</v>
      </c>
      <c r="K77" s="23" t="s">
        <v>19</v>
      </c>
      <c r="L77" s="25">
        <v>-0.42</v>
      </c>
    </row>
    <row r="78" spans="1:12" x14ac:dyDescent="0.2">
      <c r="A78" s="23" t="s">
        <v>148</v>
      </c>
      <c r="B78" s="16">
        <v>1340</v>
      </c>
      <c r="C78" s="2" t="s">
        <v>59</v>
      </c>
      <c r="D78" s="2" t="s">
        <v>26</v>
      </c>
      <c r="E78" s="16">
        <v>122.63800000000001</v>
      </c>
      <c r="F78" s="16">
        <v>121.68</v>
      </c>
      <c r="G78" s="23">
        <v>388.6884</v>
      </c>
      <c r="H78" s="16">
        <v>5715.1419999999998</v>
      </c>
      <c r="I78" s="16">
        <v>821.48</v>
      </c>
      <c r="J78" s="23" t="s">
        <v>19</v>
      </c>
      <c r="K78" s="23" t="s">
        <v>19</v>
      </c>
      <c r="L78" s="25">
        <v>-0.4</v>
      </c>
    </row>
    <row r="79" spans="1:12" x14ac:dyDescent="0.2">
      <c r="A79" s="23" t="s">
        <v>149</v>
      </c>
      <c r="B79" s="16">
        <v>1360</v>
      </c>
      <c r="C79" s="2" t="s">
        <v>59</v>
      </c>
      <c r="D79" s="2" t="s">
        <v>26</v>
      </c>
      <c r="E79" s="16">
        <v>122.64</v>
      </c>
      <c r="F79" s="16">
        <v>121.60299999999999</v>
      </c>
      <c r="G79" s="23">
        <v>389.96159999999998</v>
      </c>
      <c r="H79" s="16">
        <v>5695.4229999999998</v>
      </c>
      <c r="I79" s="16">
        <v>818.14300000000003</v>
      </c>
      <c r="J79" s="23" t="s">
        <v>19</v>
      </c>
      <c r="K79" s="23" t="s">
        <v>19</v>
      </c>
      <c r="L79" s="25">
        <v>-0.37</v>
      </c>
    </row>
    <row r="80" spans="1:12" x14ac:dyDescent="0.2">
      <c r="A80" s="23" t="s">
        <v>150</v>
      </c>
      <c r="B80" s="16">
        <v>1380</v>
      </c>
      <c r="C80" s="2" t="s">
        <v>59</v>
      </c>
      <c r="D80" s="2" t="s">
        <v>26</v>
      </c>
      <c r="E80" s="16">
        <v>122.64</v>
      </c>
      <c r="F80" s="16">
        <v>121.532</v>
      </c>
      <c r="G80" s="23">
        <v>391.23489999999998</v>
      </c>
      <c r="H80" s="16">
        <v>5675.6409999999996</v>
      </c>
      <c r="I80" s="16">
        <v>815.2</v>
      </c>
      <c r="J80" s="23" t="s">
        <v>19</v>
      </c>
      <c r="K80" s="23" t="s">
        <v>19</v>
      </c>
      <c r="L80" s="25">
        <v>-0.34</v>
      </c>
    </row>
    <row r="81" spans="1:12" x14ac:dyDescent="0.2">
      <c r="A81" s="23" t="s">
        <v>151</v>
      </c>
      <c r="B81" s="16">
        <v>1400</v>
      </c>
      <c r="C81" s="2" t="s">
        <v>59</v>
      </c>
      <c r="D81" s="2" t="s">
        <v>26</v>
      </c>
      <c r="E81" s="16">
        <v>122.64100000000001</v>
      </c>
      <c r="F81" s="16">
        <v>121.46599999999999</v>
      </c>
      <c r="G81" s="23">
        <v>392.50810000000001</v>
      </c>
      <c r="H81" s="16">
        <v>5655.8040000000001</v>
      </c>
      <c r="I81" s="16">
        <v>812.65300000000002</v>
      </c>
      <c r="J81" s="23" t="s">
        <v>19</v>
      </c>
      <c r="K81" s="23" t="s">
        <v>19</v>
      </c>
      <c r="L81" s="25">
        <v>-0.32</v>
      </c>
    </row>
    <row r="82" spans="1:12" x14ac:dyDescent="0.2">
      <c r="A82" s="23" t="s">
        <v>152</v>
      </c>
      <c r="B82" s="16">
        <v>1420</v>
      </c>
      <c r="C82" s="2" t="s">
        <v>59</v>
      </c>
      <c r="D82" s="2" t="s">
        <v>26</v>
      </c>
      <c r="E82" s="16">
        <v>122.64100000000001</v>
      </c>
      <c r="F82" s="16">
        <v>121.405</v>
      </c>
      <c r="G82" s="23">
        <v>393.78140000000002</v>
      </c>
      <c r="H82" s="16">
        <v>5635.92</v>
      </c>
      <c r="I82" s="16">
        <v>810.50400000000002</v>
      </c>
      <c r="J82" s="23" t="s">
        <v>19</v>
      </c>
      <c r="K82" s="23" t="s">
        <v>19</v>
      </c>
      <c r="L82" s="25">
        <v>-0.28999999999999998</v>
      </c>
    </row>
    <row r="83" spans="1:12" x14ac:dyDescent="0.2">
      <c r="A83" s="23" t="s">
        <v>153</v>
      </c>
      <c r="B83" s="16">
        <v>1440</v>
      </c>
      <c r="C83" s="2" t="s">
        <v>59</v>
      </c>
      <c r="D83" s="2" t="s">
        <v>26</v>
      </c>
      <c r="E83" s="16">
        <v>122.64</v>
      </c>
      <c r="F83" s="16">
        <v>121.35</v>
      </c>
      <c r="G83" s="23">
        <v>395.05459999999999</v>
      </c>
      <c r="H83" s="16">
        <v>5615.9979999999996</v>
      </c>
      <c r="I83" s="16">
        <v>808.75199999999995</v>
      </c>
      <c r="J83" s="23" t="s">
        <v>19</v>
      </c>
      <c r="K83" s="23" t="s">
        <v>19</v>
      </c>
      <c r="L83" s="25">
        <v>-0.26</v>
      </c>
    </row>
    <row r="84" spans="1:12" x14ac:dyDescent="0.2">
      <c r="A84" s="23" t="s">
        <v>154</v>
      </c>
      <c r="B84" s="16">
        <v>1460</v>
      </c>
      <c r="C84" s="2" t="s">
        <v>59</v>
      </c>
      <c r="D84" s="2" t="s">
        <v>26</v>
      </c>
      <c r="E84" s="16">
        <v>122.639</v>
      </c>
      <c r="F84" s="16">
        <v>121.29900000000001</v>
      </c>
      <c r="G84" s="23">
        <v>396.32780000000002</v>
      </c>
      <c r="H84" s="16">
        <v>5596.0439999999999</v>
      </c>
      <c r="I84" s="16">
        <v>807.4</v>
      </c>
      <c r="J84" s="23" t="s">
        <v>19</v>
      </c>
      <c r="K84" s="23" t="s">
        <v>19</v>
      </c>
      <c r="L84" s="25">
        <v>-0.24</v>
      </c>
    </row>
    <row r="85" spans="1:12" x14ac:dyDescent="0.2">
      <c r="A85" s="23" t="s">
        <v>155</v>
      </c>
      <c r="B85" s="16">
        <v>1469.08</v>
      </c>
      <c r="C85" s="2" t="s">
        <v>59</v>
      </c>
      <c r="D85" s="2" t="s">
        <v>26</v>
      </c>
      <c r="E85" s="16">
        <v>122.639</v>
      </c>
      <c r="F85" s="16">
        <v>121.27800000000001</v>
      </c>
      <c r="G85" s="23">
        <v>396.90589999999997</v>
      </c>
      <c r="H85" s="16">
        <v>5586.9759999999997</v>
      </c>
      <c r="I85" s="16">
        <v>806.91700000000003</v>
      </c>
      <c r="J85" s="23" t="s">
        <v>19</v>
      </c>
      <c r="K85" s="23" t="s">
        <v>19</v>
      </c>
      <c r="L85" s="25">
        <v>-0.23</v>
      </c>
    </row>
    <row r="86" spans="1:12" x14ac:dyDescent="0.2">
      <c r="A86" s="23" t="s">
        <v>156</v>
      </c>
      <c r="B86" s="16">
        <v>1480</v>
      </c>
      <c r="C86" s="2" t="s">
        <v>62</v>
      </c>
      <c r="D86" s="2" t="s">
        <v>26</v>
      </c>
      <c r="E86" s="16">
        <v>122.63800000000001</v>
      </c>
      <c r="F86" s="16">
        <v>121.255</v>
      </c>
      <c r="G86" s="23">
        <v>397.59429999999998</v>
      </c>
      <c r="H86" s="16">
        <v>5576.067</v>
      </c>
      <c r="I86" s="16">
        <v>806.44600000000003</v>
      </c>
      <c r="J86" s="23" t="s">
        <v>19</v>
      </c>
      <c r="K86" s="23" t="s">
        <v>19</v>
      </c>
      <c r="L86" s="25">
        <v>-0.21</v>
      </c>
    </row>
    <row r="87" spans="1:12" x14ac:dyDescent="0.2">
      <c r="A87" s="23" t="s">
        <v>157</v>
      </c>
      <c r="B87" s="16">
        <v>1500</v>
      </c>
      <c r="C87" s="2" t="s">
        <v>62</v>
      </c>
      <c r="D87" s="2" t="s">
        <v>26</v>
      </c>
      <c r="E87" s="16">
        <v>122.636</v>
      </c>
      <c r="F87" s="16">
        <v>121.215</v>
      </c>
      <c r="G87" s="23">
        <v>398.8202</v>
      </c>
      <c r="H87" s="16">
        <v>5556.0749999999998</v>
      </c>
      <c r="I87" s="16">
        <v>805.88400000000001</v>
      </c>
      <c r="J87" s="23" t="s">
        <v>19</v>
      </c>
      <c r="K87" s="23" t="s">
        <v>19</v>
      </c>
      <c r="L87" s="25">
        <v>-0.18</v>
      </c>
    </row>
    <row r="88" spans="1:12" x14ac:dyDescent="0.2">
      <c r="A88" s="23" t="s">
        <v>158</v>
      </c>
      <c r="B88" s="16">
        <v>1520</v>
      </c>
      <c r="C88" s="2" t="s">
        <v>62</v>
      </c>
      <c r="D88" s="2" t="s">
        <v>26</v>
      </c>
      <c r="E88" s="16">
        <v>122.634</v>
      </c>
      <c r="F88" s="16">
        <v>121.181</v>
      </c>
      <c r="G88" s="23">
        <v>8.0000000000000004E-4</v>
      </c>
      <c r="H88" s="16">
        <v>5536.076</v>
      </c>
      <c r="I88" s="16">
        <v>805.7</v>
      </c>
      <c r="J88" s="23" t="s">
        <v>19</v>
      </c>
      <c r="K88" s="23" t="s">
        <v>19</v>
      </c>
      <c r="L88" s="25">
        <v>-0.16</v>
      </c>
    </row>
    <row r="89" spans="1:12" x14ac:dyDescent="0.2">
      <c r="A89" s="23" t="s">
        <v>159</v>
      </c>
      <c r="B89" s="16">
        <v>1540</v>
      </c>
      <c r="C89" s="2" t="s">
        <v>62</v>
      </c>
      <c r="D89" s="2" t="s">
        <v>26</v>
      </c>
      <c r="E89" s="16">
        <v>122.63200000000001</v>
      </c>
      <c r="F89" s="16">
        <v>121.152</v>
      </c>
      <c r="G89" s="23">
        <v>1.1362000000000001</v>
      </c>
      <c r="H89" s="16">
        <v>5516.0770000000002</v>
      </c>
      <c r="I89" s="16">
        <v>805.88</v>
      </c>
      <c r="J89" s="23" t="s">
        <v>19</v>
      </c>
      <c r="K89" s="23" t="s">
        <v>19</v>
      </c>
      <c r="L89" s="25">
        <v>-0.13</v>
      </c>
    </row>
    <row r="90" spans="1:12" x14ac:dyDescent="0.2">
      <c r="A90" s="23" t="s">
        <v>160</v>
      </c>
      <c r="B90" s="16">
        <v>1560</v>
      </c>
      <c r="C90" s="2" t="s">
        <v>62</v>
      </c>
      <c r="D90" s="2" t="s">
        <v>26</v>
      </c>
      <c r="E90" s="16">
        <v>122.629</v>
      </c>
      <c r="F90" s="16">
        <v>121.129</v>
      </c>
      <c r="G90" s="23">
        <v>2.2263000000000002</v>
      </c>
      <c r="H90" s="16">
        <v>5496.0839999999998</v>
      </c>
      <c r="I90" s="16">
        <v>806.40899999999999</v>
      </c>
      <c r="J90" s="23" t="s">
        <v>19</v>
      </c>
      <c r="K90" s="23" t="s">
        <v>19</v>
      </c>
      <c r="L90" s="25">
        <v>-0.1</v>
      </c>
    </row>
    <row r="91" spans="1:12" x14ac:dyDescent="0.2">
      <c r="A91" s="23" t="s">
        <v>161</v>
      </c>
      <c r="B91" s="16">
        <v>1580</v>
      </c>
      <c r="C91" s="2" t="s">
        <v>62</v>
      </c>
      <c r="D91" s="2" t="s">
        <v>26</v>
      </c>
      <c r="E91" s="16">
        <v>122.625</v>
      </c>
      <c r="F91" s="16">
        <v>121.111</v>
      </c>
      <c r="G91" s="23">
        <v>3.2711000000000001</v>
      </c>
      <c r="H91" s="16">
        <v>5476.1030000000001</v>
      </c>
      <c r="I91" s="16">
        <v>807.274</v>
      </c>
      <c r="J91" s="23" t="s">
        <v>19</v>
      </c>
      <c r="K91" s="23" t="s">
        <v>19</v>
      </c>
      <c r="L91" s="25">
        <v>-0.08</v>
      </c>
    </row>
    <row r="92" spans="1:12" x14ac:dyDescent="0.2">
      <c r="A92" s="23" t="s">
        <v>162</v>
      </c>
      <c r="B92" s="16">
        <v>1600</v>
      </c>
      <c r="C92" s="2" t="s">
        <v>62</v>
      </c>
      <c r="D92" s="2" t="s">
        <v>26</v>
      </c>
      <c r="E92" s="16">
        <v>122.622</v>
      </c>
      <c r="F92" s="16">
        <v>121.098</v>
      </c>
      <c r="G92" s="23">
        <v>4.2706</v>
      </c>
      <c r="H92" s="16">
        <v>5456.1390000000001</v>
      </c>
      <c r="I92" s="16">
        <v>808.45899999999995</v>
      </c>
      <c r="J92" s="23" t="s">
        <v>19</v>
      </c>
      <c r="K92" s="23" t="s">
        <v>19</v>
      </c>
      <c r="L92" s="25">
        <v>-0.05</v>
      </c>
    </row>
    <row r="93" spans="1:12" x14ac:dyDescent="0.2">
      <c r="A93" s="23" t="s">
        <v>163</v>
      </c>
      <c r="B93" s="16">
        <v>1620</v>
      </c>
      <c r="C93" s="2" t="s">
        <v>62</v>
      </c>
      <c r="D93" s="2" t="s">
        <v>26</v>
      </c>
      <c r="E93" s="16">
        <v>122.61799999999999</v>
      </c>
      <c r="F93" s="16">
        <v>121.09099999999999</v>
      </c>
      <c r="G93" s="23">
        <v>5.2248999999999999</v>
      </c>
      <c r="H93" s="16">
        <v>5436.1949999999997</v>
      </c>
      <c r="I93" s="16">
        <v>809.95</v>
      </c>
      <c r="J93" s="23" t="s">
        <v>19</v>
      </c>
      <c r="K93" s="23" t="s">
        <v>19</v>
      </c>
      <c r="L93" s="25">
        <v>-0.02</v>
      </c>
    </row>
    <row r="94" spans="1:12" x14ac:dyDescent="0.2">
      <c r="A94" s="23" t="s">
        <v>164</v>
      </c>
      <c r="B94" s="16">
        <v>1640</v>
      </c>
      <c r="C94" s="2" t="s">
        <v>62</v>
      </c>
      <c r="D94" s="2" t="s">
        <v>26</v>
      </c>
      <c r="E94" s="16">
        <v>122.614</v>
      </c>
      <c r="F94" s="16">
        <v>121.08799999999999</v>
      </c>
      <c r="G94" s="23">
        <v>6.1337999999999999</v>
      </c>
      <c r="H94" s="16">
        <v>5416.2740000000003</v>
      </c>
      <c r="I94" s="16">
        <v>811.73299999999995</v>
      </c>
      <c r="J94" s="23" t="s">
        <v>19</v>
      </c>
      <c r="K94" s="23" t="s">
        <v>19</v>
      </c>
      <c r="L94" s="25">
        <v>0</v>
      </c>
    </row>
    <row r="95" spans="1:12" x14ac:dyDescent="0.2">
      <c r="A95" s="23" t="s">
        <v>165</v>
      </c>
      <c r="B95" s="16">
        <v>1660</v>
      </c>
      <c r="C95" s="2" t="s">
        <v>62</v>
      </c>
      <c r="D95" s="2" t="s">
        <v>26</v>
      </c>
      <c r="E95" s="16">
        <v>122.60899999999999</v>
      </c>
      <c r="F95" s="16">
        <v>121.092</v>
      </c>
      <c r="G95" s="23">
        <v>6.9976000000000003</v>
      </c>
      <c r="H95" s="16">
        <v>5396.3810000000003</v>
      </c>
      <c r="I95" s="16">
        <v>813.79300000000001</v>
      </c>
      <c r="J95" s="23" t="s">
        <v>19</v>
      </c>
      <c r="K95" s="23" t="s">
        <v>19</v>
      </c>
      <c r="L95" s="25">
        <v>0.03</v>
      </c>
    </row>
    <row r="96" spans="1:12" x14ac:dyDescent="0.2">
      <c r="A96" s="23" t="s">
        <v>166</v>
      </c>
      <c r="B96" s="16">
        <v>1680</v>
      </c>
      <c r="C96" s="2" t="s">
        <v>62</v>
      </c>
      <c r="D96" s="2" t="s">
        <v>26</v>
      </c>
      <c r="E96" s="16">
        <v>122.604</v>
      </c>
      <c r="F96" s="16">
        <v>121.1</v>
      </c>
      <c r="G96" s="23">
        <v>7.8159999999999998</v>
      </c>
      <c r="H96" s="16">
        <v>5376.5159999999996</v>
      </c>
      <c r="I96" s="16">
        <v>816.11599999999999</v>
      </c>
      <c r="J96" s="23" t="s">
        <v>19</v>
      </c>
      <c r="K96" s="23" t="s">
        <v>19</v>
      </c>
      <c r="L96" s="25">
        <v>0.06</v>
      </c>
    </row>
    <row r="97" spans="1:12" x14ac:dyDescent="0.2">
      <c r="A97" s="23" t="s">
        <v>167</v>
      </c>
      <c r="B97" s="16">
        <v>1700</v>
      </c>
      <c r="C97" s="2" t="s">
        <v>62</v>
      </c>
      <c r="D97" s="2" t="s">
        <v>26</v>
      </c>
      <c r="E97" s="16">
        <v>122.599</v>
      </c>
      <c r="F97" s="16">
        <v>121.114</v>
      </c>
      <c r="G97" s="23">
        <v>8.5891999999999999</v>
      </c>
      <c r="H97" s="16">
        <v>5356.683</v>
      </c>
      <c r="I97" s="16">
        <v>818.68700000000001</v>
      </c>
      <c r="J97" s="23" t="s">
        <v>19</v>
      </c>
      <c r="K97" s="23" t="s">
        <v>19</v>
      </c>
      <c r="L97" s="25">
        <v>0.08</v>
      </c>
    </row>
    <row r="98" spans="1:12" x14ac:dyDescent="0.2">
      <c r="A98" s="23" t="s">
        <v>168</v>
      </c>
      <c r="B98" s="16">
        <v>1720</v>
      </c>
      <c r="C98" s="2" t="s">
        <v>62</v>
      </c>
      <c r="D98" s="2" t="s">
        <v>26</v>
      </c>
      <c r="E98" s="16">
        <v>122.59399999999999</v>
      </c>
      <c r="F98" s="16">
        <v>121.133</v>
      </c>
      <c r="G98" s="23">
        <v>9.3170999999999999</v>
      </c>
      <c r="H98" s="16">
        <v>5336.88</v>
      </c>
      <c r="I98" s="16">
        <v>821.49199999999996</v>
      </c>
      <c r="J98" s="23" t="s">
        <v>19</v>
      </c>
      <c r="K98" s="23" t="s">
        <v>19</v>
      </c>
      <c r="L98" s="25">
        <v>0.11</v>
      </c>
    </row>
    <row r="99" spans="1:12" x14ac:dyDescent="0.2">
      <c r="A99" s="23" t="s">
        <v>169</v>
      </c>
      <c r="B99" s="16">
        <v>1740</v>
      </c>
      <c r="C99" s="2" t="s">
        <v>62</v>
      </c>
      <c r="D99" s="2" t="s">
        <v>26</v>
      </c>
      <c r="E99" s="16">
        <v>122.58799999999999</v>
      </c>
      <c r="F99" s="16">
        <v>121.158</v>
      </c>
      <c r="G99" s="23">
        <v>9.9997000000000007</v>
      </c>
      <c r="H99" s="16">
        <v>5317.11</v>
      </c>
      <c r="I99" s="16">
        <v>824.51499999999999</v>
      </c>
      <c r="J99" s="23" t="s">
        <v>19</v>
      </c>
      <c r="K99" s="23" t="s">
        <v>19</v>
      </c>
      <c r="L99" s="25">
        <v>0.14000000000000001</v>
      </c>
    </row>
    <row r="100" spans="1:12" x14ac:dyDescent="0.2">
      <c r="A100" s="23" t="s">
        <v>170</v>
      </c>
      <c r="B100" s="16">
        <v>1760</v>
      </c>
      <c r="C100" s="2" t="s">
        <v>62</v>
      </c>
      <c r="D100" s="2" t="s">
        <v>26</v>
      </c>
      <c r="E100" s="16">
        <v>122.58199999999999</v>
      </c>
      <c r="F100" s="16">
        <v>121.188</v>
      </c>
      <c r="G100" s="23">
        <v>10.6371</v>
      </c>
      <c r="H100" s="16">
        <v>5297.3729999999996</v>
      </c>
      <c r="I100" s="16">
        <v>827.74400000000003</v>
      </c>
      <c r="J100" s="23" t="s">
        <v>19</v>
      </c>
      <c r="K100" s="23" t="s">
        <v>19</v>
      </c>
      <c r="L100" s="25">
        <v>0.16</v>
      </c>
    </row>
    <row r="101" spans="1:12" x14ac:dyDescent="0.2">
      <c r="A101" s="23" t="s">
        <v>171</v>
      </c>
      <c r="B101" s="16">
        <v>1780</v>
      </c>
      <c r="C101" s="2" t="s">
        <v>62</v>
      </c>
      <c r="D101" s="2" t="s">
        <v>26</v>
      </c>
      <c r="E101" s="16">
        <v>122.57599999999999</v>
      </c>
      <c r="F101" s="16">
        <v>121.223</v>
      </c>
      <c r="G101" s="23">
        <v>11.229200000000001</v>
      </c>
      <c r="H101" s="16">
        <v>5277.6670000000004</v>
      </c>
      <c r="I101" s="16">
        <v>831.16300000000001</v>
      </c>
      <c r="J101" s="23" t="s">
        <v>19</v>
      </c>
      <c r="K101" s="23" t="s">
        <v>19</v>
      </c>
      <c r="L101" s="25">
        <v>0.19</v>
      </c>
    </row>
    <row r="102" spans="1:12" x14ac:dyDescent="0.2">
      <c r="A102" s="23" t="s">
        <v>172</v>
      </c>
      <c r="B102" s="16">
        <v>1800</v>
      </c>
      <c r="C102" s="2" t="s">
        <v>62</v>
      </c>
      <c r="D102" s="2" t="s">
        <v>26</v>
      </c>
      <c r="E102" s="16">
        <v>122.57</v>
      </c>
      <c r="F102" s="16">
        <v>121.264</v>
      </c>
      <c r="G102" s="23">
        <v>11.776</v>
      </c>
      <c r="H102" s="16">
        <v>5257.9930000000004</v>
      </c>
      <c r="I102" s="16">
        <v>834.75800000000004</v>
      </c>
      <c r="J102" s="23" t="s">
        <v>19</v>
      </c>
      <c r="K102" s="23" t="s">
        <v>19</v>
      </c>
      <c r="L102" s="25">
        <v>0.22</v>
      </c>
    </row>
    <row r="103" spans="1:12" x14ac:dyDescent="0.2">
      <c r="A103" s="23" t="s">
        <v>173</v>
      </c>
      <c r="B103" s="16">
        <v>1820</v>
      </c>
      <c r="C103" s="2" t="s">
        <v>62</v>
      </c>
      <c r="D103" s="2" t="s">
        <v>26</v>
      </c>
      <c r="E103" s="16">
        <v>122.56399999999999</v>
      </c>
      <c r="F103" s="16">
        <v>121.309</v>
      </c>
      <c r="G103" s="23">
        <v>12.2776</v>
      </c>
      <c r="H103" s="16">
        <v>5238.3490000000002</v>
      </c>
      <c r="I103" s="16">
        <v>838.51499999999999</v>
      </c>
      <c r="J103" s="23" t="s">
        <v>19</v>
      </c>
      <c r="K103" s="23" t="s">
        <v>19</v>
      </c>
      <c r="L103" s="25">
        <v>0.24</v>
      </c>
    </row>
    <row r="104" spans="1:12" x14ac:dyDescent="0.2">
      <c r="A104" s="23" t="s">
        <v>174</v>
      </c>
      <c r="B104" s="16">
        <v>1840</v>
      </c>
      <c r="C104" s="2" t="s">
        <v>62</v>
      </c>
      <c r="D104" s="2" t="s">
        <v>26</v>
      </c>
      <c r="E104" s="16">
        <v>122.557</v>
      </c>
      <c r="F104" s="16">
        <v>121.361</v>
      </c>
      <c r="G104" s="23">
        <v>12.7339</v>
      </c>
      <c r="H104" s="16">
        <v>5218.7340000000004</v>
      </c>
      <c r="I104" s="16">
        <v>842.42</v>
      </c>
      <c r="J104" s="23" t="s">
        <v>19</v>
      </c>
      <c r="K104" s="23" t="s">
        <v>19</v>
      </c>
      <c r="L104" s="25">
        <v>0.27</v>
      </c>
    </row>
    <row r="105" spans="1:12" x14ac:dyDescent="0.2">
      <c r="A105" s="23" t="s">
        <v>175</v>
      </c>
      <c r="B105" s="16">
        <v>1860</v>
      </c>
      <c r="C105" s="2" t="s">
        <v>62</v>
      </c>
      <c r="D105" s="2" t="s">
        <v>26</v>
      </c>
      <c r="E105" s="16">
        <v>122.551</v>
      </c>
      <c r="F105" s="16">
        <v>121.417</v>
      </c>
      <c r="G105" s="23">
        <v>13.1449</v>
      </c>
      <c r="H105" s="16">
        <v>5199.1459999999997</v>
      </c>
      <c r="I105" s="16">
        <v>846.45799999999997</v>
      </c>
      <c r="J105" s="23" t="s">
        <v>19</v>
      </c>
      <c r="K105" s="23" t="s">
        <v>19</v>
      </c>
      <c r="L105" s="25">
        <v>0.3</v>
      </c>
    </row>
    <row r="106" spans="1:12" x14ac:dyDescent="0.2">
      <c r="A106" s="23" t="s">
        <v>176</v>
      </c>
      <c r="B106" s="16">
        <v>1880</v>
      </c>
      <c r="C106" s="2" t="s">
        <v>62</v>
      </c>
      <c r="D106" s="2" t="s">
        <v>26</v>
      </c>
      <c r="E106" s="16">
        <v>122.544</v>
      </c>
      <c r="F106" s="16">
        <v>121.479</v>
      </c>
      <c r="G106" s="23">
        <v>13.5106</v>
      </c>
      <c r="H106" s="16">
        <v>5179.5829999999996</v>
      </c>
      <c r="I106" s="16">
        <v>850.61599999999999</v>
      </c>
      <c r="J106" s="23" t="s">
        <v>19</v>
      </c>
      <c r="K106" s="23" t="s">
        <v>19</v>
      </c>
      <c r="L106" s="25">
        <v>0.32</v>
      </c>
    </row>
    <row r="107" spans="1:12" x14ac:dyDescent="0.2">
      <c r="A107" s="23" t="s">
        <v>177</v>
      </c>
      <c r="B107" s="16">
        <v>1900</v>
      </c>
      <c r="C107" s="2" t="s">
        <v>62</v>
      </c>
      <c r="D107" s="2" t="s">
        <v>26</v>
      </c>
      <c r="E107" s="16">
        <v>122.53700000000001</v>
      </c>
      <c r="F107" s="16">
        <v>121.54600000000001</v>
      </c>
      <c r="G107" s="23">
        <v>13.831099999999999</v>
      </c>
      <c r="H107" s="16">
        <v>5160.0429999999997</v>
      </c>
      <c r="I107" s="16">
        <v>854.87900000000002</v>
      </c>
      <c r="J107" s="23" t="s">
        <v>19</v>
      </c>
      <c r="K107" s="23" t="s">
        <v>19</v>
      </c>
      <c r="L107" s="25">
        <v>0.35</v>
      </c>
    </row>
    <row r="108" spans="1:12" x14ac:dyDescent="0.2">
      <c r="A108" s="23" t="s">
        <v>178</v>
      </c>
      <c r="B108" s="16">
        <v>1920</v>
      </c>
      <c r="C108" s="2" t="s">
        <v>62</v>
      </c>
      <c r="D108" s="2" t="s">
        <v>26</v>
      </c>
      <c r="E108" s="16">
        <v>122.53</v>
      </c>
      <c r="F108" s="16">
        <v>121.619</v>
      </c>
      <c r="G108" s="23">
        <v>14.106299999999999</v>
      </c>
      <c r="H108" s="16">
        <v>5140.5219999999999</v>
      </c>
      <c r="I108" s="16">
        <v>859.23299999999995</v>
      </c>
      <c r="J108" s="23" t="s">
        <v>19</v>
      </c>
      <c r="K108" s="23" t="s">
        <v>19</v>
      </c>
      <c r="L108" s="25">
        <v>0.38</v>
      </c>
    </row>
    <row r="109" spans="1:12" x14ac:dyDescent="0.2">
      <c r="A109" s="23" t="s">
        <v>179</v>
      </c>
      <c r="B109" s="16">
        <v>1940</v>
      </c>
      <c r="C109" s="2" t="s">
        <v>62</v>
      </c>
      <c r="D109" s="2" t="s">
        <v>26</v>
      </c>
      <c r="E109" s="16">
        <v>122.523</v>
      </c>
      <c r="F109" s="16">
        <v>121.697</v>
      </c>
      <c r="G109" s="23">
        <v>14.3362</v>
      </c>
      <c r="H109" s="16">
        <v>5121.0200000000004</v>
      </c>
      <c r="I109" s="16">
        <v>863.66499999999996</v>
      </c>
      <c r="J109" s="23" t="s">
        <v>19</v>
      </c>
      <c r="K109" s="23" t="s">
        <v>19</v>
      </c>
      <c r="L109" s="25">
        <v>0.4</v>
      </c>
    </row>
    <row r="110" spans="1:12" x14ac:dyDescent="0.2">
      <c r="A110" s="23" t="s">
        <v>180</v>
      </c>
      <c r="B110" s="16">
        <v>1960</v>
      </c>
      <c r="C110" s="2" t="s">
        <v>62</v>
      </c>
      <c r="D110" s="2" t="s">
        <v>26</v>
      </c>
      <c r="E110" s="16">
        <v>122.51600000000001</v>
      </c>
      <c r="F110" s="16">
        <v>121.78</v>
      </c>
      <c r="G110" s="23">
        <v>14.520899999999999</v>
      </c>
      <c r="H110" s="16">
        <v>5101.5309999999999</v>
      </c>
      <c r="I110" s="16">
        <v>868.16099999999994</v>
      </c>
      <c r="J110" s="23" t="s">
        <v>19</v>
      </c>
      <c r="K110" s="23" t="s">
        <v>19</v>
      </c>
      <c r="L110" s="25">
        <v>0.43</v>
      </c>
    </row>
    <row r="111" spans="1:12" x14ac:dyDescent="0.2">
      <c r="A111" s="23" t="s">
        <v>181</v>
      </c>
      <c r="B111" s="16">
        <v>1980</v>
      </c>
      <c r="C111" s="2" t="s">
        <v>62</v>
      </c>
      <c r="D111" s="2" t="s">
        <v>26</v>
      </c>
      <c r="E111" s="16">
        <v>122.509</v>
      </c>
      <c r="F111" s="16">
        <v>121.869</v>
      </c>
      <c r="G111" s="23">
        <v>14.660299999999999</v>
      </c>
      <c r="H111" s="16">
        <v>5082.0550000000003</v>
      </c>
      <c r="I111" s="16">
        <v>872.70500000000004</v>
      </c>
      <c r="J111" s="23" t="s">
        <v>19</v>
      </c>
      <c r="K111" s="23" t="s">
        <v>19</v>
      </c>
      <c r="L111" s="25">
        <v>0.46</v>
      </c>
    </row>
    <row r="112" spans="1:12" x14ac:dyDescent="0.2">
      <c r="A112" s="23" t="s">
        <v>182</v>
      </c>
      <c r="B112" s="16">
        <v>2000</v>
      </c>
      <c r="C112" s="2" t="s">
        <v>62</v>
      </c>
      <c r="D112" s="2" t="s">
        <v>26</v>
      </c>
      <c r="E112" s="16">
        <v>122.502</v>
      </c>
      <c r="F112" s="16">
        <v>121.96299999999999</v>
      </c>
      <c r="G112" s="23">
        <v>14.7544</v>
      </c>
      <c r="H112" s="16">
        <v>5062.5860000000002</v>
      </c>
      <c r="I112" s="16">
        <v>877.28599999999994</v>
      </c>
      <c r="J112" s="23" t="s">
        <v>19</v>
      </c>
      <c r="K112" s="23" t="s">
        <v>19</v>
      </c>
      <c r="L112" s="25">
        <v>0.48</v>
      </c>
    </row>
    <row r="113" spans="1:12" x14ac:dyDescent="0.2">
      <c r="A113" s="23" t="s">
        <v>183</v>
      </c>
      <c r="B113" s="16">
        <v>2020</v>
      </c>
      <c r="C113" s="2" t="s">
        <v>62</v>
      </c>
      <c r="D113" s="2" t="s">
        <v>26</v>
      </c>
      <c r="E113" s="16">
        <v>122.495</v>
      </c>
      <c r="F113" s="16">
        <v>122.062</v>
      </c>
      <c r="G113" s="23">
        <v>14.8032</v>
      </c>
      <c r="H113" s="16">
        <v>5043.1229999999996</v>
      </c>
      <c r="I113" s="16">
        <v>881.88900000000001</v>
      </c>
      <c r="J113" s="23" t="s">
        <v>19</v>
      </c>
      <c r="K113" s="23" t="s">
        <v>19</v>
      </c>
      <c r="L113" s="25">
        <v>0.51</v>
      </c>
    </row>
    <row r="114" spans="1:12" x14ac:dyDescent="0.2">
      <c r="A114" s="23" t="s">
        <v>184</v>
      </c>
      <c r="B114" s="16">
        <v>2031.58</v>
      </c>
      <c r="C114" s="2" t="s">
        <v>62</v>
      </c>
      <c r="D114" s="2" t="s">
        <v>26</v>
      </c>
      <c r="E114" s="16">
        <v>122.49</v>
      </c>
      <c r="F114" s="16">
        <v>122.122</v>
      </c>
      <c r="G114" s="23">
        <v>14.8108</v>
      </c>
      <c r="H114" s="16">
        <v>5031.8549999999996</v>
      </c>
      <c r="I114" s="16">
        <v>884.55799999999999</v>
      </c>
      <c r="J114" s="23" t="s">
        <v>19</v>
      </c>
      <c r="K114" s="23" t="s">
        <v>19</v>
      </c>
      <c r="L114" s="25">
        <v>0.52</v>
      </c>
    </row>
    <row r="115" spans="1:12" x14ac:dyDescent="0.2">
      <c r="A115" s="23" t="s">
        <v>185</v>
      </c>
      <c r="B115" s="16">
        <v>2040</v>
      </c>
      <c r="C115" s="2" t="s">
        <v>64</v>
      </c>
      <c r="D115" s="2" t="s">
        <v>26</v>
      </c>
      <c r="E115" s="16">
        <v>122.48699999999999</v>
      </c>
      <c r="F115" s="16">
        <v>122.166</v>
      </c>
      <c r="G115" s="23">
        <v>14.8108</v>
      </c>
      <c r="H115" s="16">
        <v>5023.6620000000003</v>
      </c>
      <c r="I115" s="16">
        <v>886.49900000000002</v>
      </c>
      <c r="J115" s="23" t="s">
        <v>19</v>
      </c>
      <c r="K115" s="23" t="s">
        <v>19</v>
      </c>
      <c r="L115" s="25">
        <v>0.54</v>
      </c>
    </row>
    <row r="116" spans="1:12" x14ac:dyDescent="0.2">
      <c r="A116" s="23" t="s">
        <v>186</v>
      </c>
      <c r="B116" s="16">
        <v>2060</v>
      </c>
      <c r="C116" s="2" t="s">
        <v>64</v>
      </c>
      <c r="D116" s="2" t="s">
        <v>30</v>
      </c>
      <c r="E116" s="16">
        <v>122.496</v>
      </c>
      <c r="F116" s="16">
        <v>122.27500000000001</v>
      </c>
      <c r="G116" s="23">
        <v>14.8108</v>
      </c>
      <c r="H116" s="16">
        <v>5004.201</v>
      </c>
      <c r="I116" s="16">
        <v>891.11</v>
      </c>
      <c r="J116" s="23" t="s">
        <v>19</v>
      </c>
      <c r="K116" s="23" t="s">
        <v>19</v>
      </c>
      <c r="L116" s="25">
        <v>0.55000000000000004</v>
      </c>
    </row>
    <row r="117" spans="1:12" x14ac:dyDescent="0.2">
      <c r="A117" s="23" t="s">
        <v>187</v>
      </c>
      <c r="B117" s="16">
        <v>2080</v>
      </c>
      <c r="C117" s="2" t="s">
        <v>64</v>
      </c>
      <c r="D117" s="2" t="s">
        <v>30</v>
      </c>
      <c r="E117" s="16">
        <v>122.52200000000001</v>
      </c>
      <c r="F117" s="16">
        <v>122.38500000000001</v>
      </c>
      <c r="G117" s="23">
        <v>14.8108</v>
      </c>
      <c r="H117" s="16">
        <v>4984.7389999999996</v>
      </c>
      <c r="I117" s="16">
        <v>895.721</v>
      </c>
      <c r="J117" s="23" t="s">
        <v>19</v>
      </c>
      <c r="K117" s="23" t="s">
        <v>19</v>
      </c>
      <c r="L117" s="25">
        <v>0.55000000000000004</v>
      </c>
    </row>
    <row r="118" spans="1:12" x14ac:dyDescent="0.2">
      <c r="A118" s="23" t="s">
        <v>188</v>
      </c>
      <c r="B118" s="16">
        <v>2100</v>
      </c>
      <c r="C118" s="2" t="s">
        <v>64</v>
      </c>
      <c r="D118" s="2" t="s">
        <v>30</v>
      </c>
      <c r="E118" s="16">
        <v>122.548</v>
      </c>
      <c r="F118" s="16">
        <v>122.494</v>
      </c>
      <c r="G118" s="23">
        <v>14.8108</v>
      </c>
      <c r="H118" s="16">
        <v>4965.2780000000002</v>
      </c>
      <c r="I118" s="16">
        <v>900.33199999999999</v>
      </c>
      <c r="J118" s="23" t="s">
        <v>19</v>
      </c>
      <c r="K118" s="23" t="s">
        <v>19</v>
      </c>
      <c r="L118" s="25">
        <v>0.55000000000000004</v>
      </c>
    </row>
    <row r="119" spans="1:12" x14ac:dyDescent="0.2">
      <c r="A119" s="23" t="s">
        <v>189</v>
      </c>
      <c r="B119" s="16">
        <v>2120</v>
      </c>
      <c r="C119" s="2" t="s">
        <v>64</v>
      </c>
      <c r="D119" s="2" t="s">
        <v>30</v>
      </c>
      <c r="E119" s="16">
        <v>122.574</v>
      </c>
      <c r="F119" s="16">
        <v>122.60299999999999</v>
      </c>
      <c r="G119" s="23">
        <v>14.8108</v>
      </c>
      <c r="H119" s="16">
        <v>4945.817</v>
      </c>
      <c r="I119" s="16">
        <v>904.94399999999996</v>
      </c>
      <c r="J119" s="23" t="s">
        <v>19</v>
      </c>
      <c r="K119" s="23" t="s">
        <v>19</v>
      </c>
      <c r="L119" s="25">
        <v>0.55000000000000004</v>
      </c>
    </row>
    <row r="120" spans="1:12" x14ac:dyDescent="0.2">
      <c r="A120" s="23" t="s">
        <v>190</v>
      </c>
      <c r="B120" s="16">
        <v>2140</v>
      </c>
      <c r="C120" s="2" t="s">
        <v>64</v>
      </c>
      <c r="D120" s="2" t="s">
        <v>30</v>
      </c>
      <c r="E120" s="16">
        <v>122.599</v>
      </c>
      <c r="F120" s="16">
        <v>122.71299999999999</v>
      </c>
      <c r="G120" s="23">
        <v>14.8108</v>
      </c>
      <c r="H120" s="16">
        <v>4926.3559999999998</v>
      </c>
      <c r="I120" s="16">
        <v>909.55499999999995</v>
      </c>
      <c r="J120" s="23" t="s">
        <v>19</v>
      </c>
      <c r="K120" s="23" t="s">
        <v>19</v>
      </c>
      <c r="L120" s="25">
        <v>0.55000000000000004</v>
      </c>
    </row>
    <row r="121" spans="1:12" x14ac:dyDescent="0.2">
      <c r="A121" s="23" t="s">
        <v>191</v>
      </c>
      <c r="B121" s="16">
        <v>2160</v>
      </c>
      <c r="C121" s="2" t="s">
        <v>64</v>
      </c>
      <c r="D121" s="2" t="s">
        <v>30</v>
      </c>
      <c r="E121" s="16">
        <v>122.625</v>
      </c>
      <c r="F121" s="16">
        <v>122.822</v>
      </c>
      <c r="G121" s="23">
        <v>14.8108</v>
      </c>
      <c r="H121" s="16">
        <v>4906.8950000000004</v>
      </c>
      <c r="I121" s="16">
        <v>914.16600000000005</v>
      </c>
      <c r="J121" s="23" t="s">
        <v>19</v>
      </c>
      <c r="K121" s="23" t="s">
        <v>19</v>
      </c>
      <c r="L121" s="25">
        <v>0.55000000000000004</v>
      </c>
    </row>
    <row r="122" spans="1:12" x14ac:dyDescent="0.2">
      <c r="A122" s="23" t="s">
        <v>192</v>
      </c>
      <c r="B122" s="16">
        <v>2180</v>
      </c>
      <c r="C122" s="2" t="s">
        <v>64</v>
      </c>
      <c r="D122" s="2" t="s">
        <v>30</v>
      </c>
      <c r="E122" s="16">
        <v>122.651</v>
      </c>
      <c r="F122" s="16">
        <v>122.931</v>
      </c>
      <c r="G122" s="23">
        <v>14.8108</v>
      </c>
      <c r="H122" s="16">
        <v>4887.433</v>
      </c>
      <c r="I122" s="16">
        <v>918.77700000000004</v>
      </c>
      <c r="J122" s="23" t="s">
        <v>19</v>
      </c>
      <c r="K122" s="23" t="s">
        <v>19</v>
      </c>
      <c r="L122" s="25">
        <v>0.55000000000000004</v>
      </c>
    </row>
    <row r="123" spans="1:12" x14ac:dyDescent="0.2">
      <c r="A123" s="23" t="s">
        <v>193</v>
      </c>
      <c r="B123" s="16">
        <v>2200</v>
      </c>
      <c r="C123" s="2" t="s">
        <v>64</v>
      </c>
      <c r="D123" s="2" t="s">
        <v>30</v>
      </c>
      <c r="E123" s="16">
        <v>122.676</v>
      </c>
      <c r="F123" s="16">
        <v>123.041</v>
      </c>
      <c r="G123" s="23">
        <v>14.8108</v>
      </c>
      <c r="H123" s="16">
        <v>4867.9719999999998</v>
      </c>
      <c r="I123" s="16">
        <v>923.38800000000003</v>
      </c>
      <c r="J123" s="23" t="s">
        <v>19</v>
      </c>
      <c r="K123" s="23" t="s">
        <v>19</v>
      </c>
      <c r="L123" s="25">
        <v>0.55000000000000004</v>
      </c>
    </row>
    <row r="124" spans="1:12" x14ac:dyDescent="0.2">
      <c r="A124" s="23" t="s">
        <v>194</v>
      </c>
      <c r="B124" s="16">
        <v>2220</v>
      </c>
      <c r="C124" s="2" t="s">
        <v>64</v>
      </c>
      <c r="D124" s="2" t="s">
        <v>30</v>
      </c>
      <c r="E124" s="16">
        <v>122.702</v>
      </c>
      <c r="F124" s="16">
        <v>123.15</v>
      </c>
      <c r="G124" s="23">
        <v>14.8108</v>
      </c>
      <c r="H124" s="16">
        <v>4848.5110000000004</v>
      </c>
      <c r="I124" s="16">
        <v>927.99900000000002</v>
      </c>
      <c r="J124" s="23" t="s">
        <v>19</v>
      </c>
      <c r="K124" s="23" t="s">
        <v>19</v>
      </c>
      <c r="L124" s="25">
        <v>0.55000000000000004</v>
      </c>
    </row>
    <row r="125" spans="1:12" x14ac:dyDescent="0.2">
      <c r="A125" s="23" t="s">
        <v>195</v>
      </c>
      <c r="B125" s="16">
        <v>2240</v>
      </c>
      <c r="C125" s="2" t="s">
        <v>64</v>
      </c>
      <c r="D125" s="2" t="s">
        <v>30</v>
      </c>
      <c r="E125" s="16">
        <v>122.72799999999999</v>
      </c>
      <c r="F125" s="16">
        <v>123.259</v>
      </c>
      <c r="G125" s="23">
        <v>14.8108</v>
      </c>
      <c r="H125" s="16">
        <v>4829.05</v>
      </c>
      <c r="I125" s="16">
        <v>932.61</v>
      </c>
      <c r="J125" s="23" t="s">
        <v>19</v>
      </c>
      <c r="K125" s="23" t="s">
        <v>19</v>
      </c>
      <c r="L125" s="25">
        <v>0.55000000000000004</v>
      </c>
    </row>
    <row r="126" spans="1:12" x14ac:dyDescent="0.2">
      <c r="A126" s="23" t="s">
        <v>196</v>
      </c>
      <c r="B126" s="16">
        <v>2260</v>
      </c>
      <c r="C126" s="2" t="s">
        <v>64</v>
      </c>
      <c r="D126" s="2" t="s">
        <v>30</v>
      </c>
      <c r="E126" s="16">
        <v>122.754</v>
      </c>
      <c r="F126" s="16">
        <v>123.369</v>
      </c>
      <c r="G126" s="23">
        <v>14.8108</v>
      </c>
      <c r="H126" s="16">
        <v>4809.5889999999999</v>
      </c>
      <c r="I126" s="16">
        <v>937.221</v>
      </c>
      <c r="J126" s="23" t="s">
        <v>19</v>
      </c>
      <c r="K126" s="23" t="s">
        <v>19</v>
      </c>
      <c r="L126" s="25">
        <v>0.55000000000000004</v>
      </c>
    </row>
    <row r="127" spans="1:12" x14ac:dyDescent="0.2">
      <c r="A127" s="23" t="s">
        <v>197</v>
      </c>
      <c r="B127" s="16">
        <v>2280</v>
      </c>
      <c r="C127" s="2" t="s">
        <v>64</v>
      </c>
      <c r="D127" s="2" t="s">
        <v>30</v>
      </c>
      <c r="E127" s="16">
        <v>122.779</v>
      </c>
      <c r="F127" s="16">
        <v>123.47799999999999</v>
      </c>
      <c r="G127" s="23">
        <v>14.8108</v>
      </c>
      <c r="H127" s="16">
        <v>4790.1270000000004</v>
      </c>
      <c r="I127" s="16">
        <v>941.83199999999999</v>
      </c>
      <c r="J127" s="23" t="s">
        <v>19</v>
      </c>
      <c r="K127" s="23" t="s">
        <v>19</v>
      </c>
      <c r="L127" s="25">
        <v>0.55000000000000004</v>
      </c>
    </row>
    <row r="128" spans="1:12" x14ac:dyDescent="0.2">
      <c r="A128" s="23" t="s">
        <v>198</v>
      </c>
      <c r="B128" s="16">
        <v>2300</v>
      </c>
      <c r="C128" s="2" t="s">
        <v>64</v>
      </c>
      <c r="D128" s="2" t="s">
        <v>30</v>
      </c>
      <c r="E128" s="16">
        <v>122.80500000000001</v>
      </c>
      <c r="F128" s="16">
        <v>123.587</v>
      </c>
      <c r="G128" s="23">
        <v>14.8108</v>
      </c>
      <c r="H128" s="16">
        <v>4770.6660000000002</v>
      </c>
      <c r="I128" s="16">
        <v>946.44299999999998</v>
      </c>
      <c r="J128" s="23" t="s">
        <v>19</v>
      </c>
      <c r="K128" s="23" t="s">
        <v>19</v>
      </c>
      <c r="L128" s="25">
        <v>0.55000000000000004</v>
      </c>
    </row>
    <row r="129" spans="1:12" x14ac:dyDescent="0.2">
      <c r="A129" s="23" t="s">
        <v>199</v>
      </c>
      <c r="B129" s="16">
        <v>2320</v>
      </c>
      <c r="C129" s="2" t="s">
        <v>64</v>
      </c>
      <c r="D129" s="2" t="s">
        <v>30</v>
      </c>
      <c r="E129" s="16">
        <v>122.831</v>
      </c>
      <c r="F129" s="16">
        <v>123.697</v>
      </c>
      <c r="G129" s="23">
        <v>14.8108</v>
      </c>
      <c r="H129" s="16">
        <v>4751.2049999999999</v>
      </c>
      <c r="I129" s="16">
        <v>951.05499999999995</v>
      </c>
      <c r="J129" s="23" t="s">
        <v>19</v>
      </c>
      <c r="K129" s="23" t="s">
        <v>19</v>
      </c>
      <c r="L129" s="25">
        <v>0.55000000000000004</v>
      </c>
    </row>
    <row r="130" spans="1:12" x14ac:dyDescent="0.2">
      <c r="A130" s="23" t="s">
        <v>200</v>
      </c>
      <c r="B130" s="16">
        <v>2340</v>
      </c>
      <c r="C130" s="2" t="s">
        <v>64</v>
      </c>
      <c r="D130" s="2" t="s">
        <v>30</v>
      </c>
      <c r="E130" s="16">
        <v>122.857</v>
      </c>
      <c r="F130" s="16">
        <v>123.806</v>
      </c>
      <c r="G130" s="23">
        <v>14.8108</v>
      </c>
      <c r="H130" s="16">
        <v>4731.7439999999997</v>
      </c>
      <c r="I130" s="16">
        <v>955.66600000000005</v>
      </c>
      <c r="J130" s="23" t="s">
        <v>19</v>
      </c>
      <c r="K130" s="23" t="s">
        <v>19</v>
      </c>
      <c r="L130" s="25">
        <v>0.55000000000000004</v>
      </c>
    </row>
    <row r="131" spans="1:12" x14ac:dyDescent="0.2">
      <c r="A131" s="23" t="s">
        <v>201</v>
      </c>
      <c r="B131" s="16">
        <v>2360</v>
      </c>
      <c r="C131" s="2" t="s">
        <v>64</v>
      </c>
      <c r="D131" s="2" t="s">
        <v>30</v>
      </c>
      <c r="E131" s="16">
        <v>122.88200000000001</v>
      </c>
      <c r="F131" s="16">
        <v>123.91500000000001</v>
      </c>
      <c r="G131" s="23">
        <v>14.8108</v>
      </c>
      <c r="H131" s="16">
        <v>4712.2830000000004</v>
      </c>
      <c r="I131" s="16">
        <v>960.27700000000004</v>
      </c>
      <c r="J131" s="23" t="s">
        <v>19</v>
      </c>
      <c r="K131" s="23" t="s">
        <v>19</v>
      </c>
      <c r="L131" s="25">
        <v>0.55000000000000004</v>
      </c>
    </row>
    <row r="132" spans="1:12" x14ac:dyDescent="0.2">
      <c r="A132" s="23" t="s">
        <v>202</v>
      </c>
      <c r="B132" s="16">
        <v>2380</v>
      </c>
      <c r="C132" s="2" t="s">
        <v>64</v>
      </c>
      <c r="D132" s="2" t="s">
        <v>30</v>
      </c>
      <c r="E132" s="16">
        <v>122.908</v>
      </c>
      <c r="F132" s="16">
        <v>124.02500000000001</v>
      </c>
      <c r="G132" s="23">
        <v>14.8108</v>
      </c>
      <c r="H132" s="16">
        <v>4692.8220000000001</v>
      </c>
      <c r="I132" s="16">
        <v>964.88800000000003</v>
      </c>
      <c r="J132" s="23" t="s">
        <v>19</v>
      </c>
      <c r="K132" s="23" t="s">
        <v>19</v>
      </c>
      <c r="L132" s="25">
        <v>0.55000000000000004</v>
      </c>
    </row>
    <row r="133" spans="1:12" x14ac:dyDescent="0.2">
      <c r="A133" s="23" t="s">
        <v>203</v>
      </c>
      <c r="B133" s="16">
        <v>2400</v>
      </c>
      <c r="C133" s="2" t="s">
        <v>64</v>
      </c>
      <c r="D133" s="2" t="s">
        <v>30</v>
      </c>
      <c r="E133" s="16">
        <v>122.934</v>
      </c>
      <c r="F133" s="16">
        <v>124.134</v>
      </c>
      <c r="G133" s="23">
        <v>14.8108</v>
      </c>
      <c r="H133" s="16">
        <v>4673.3599999999997</v>
      </c>
      <c r="I133" s="16">
        <v>969.49900000000002</v>
      </c>
      <c r="J133" s="23" t="s">
        <v>19</v>
      </c>
      <c r="K133" s="23" t="s">
        <v>19</v>
      </c>
      <c r="L133" s="25">
        <v>0.55000000000000004</v>
      </c>
    </row>
    <row r="134" spans="1:12" x14ac:dyDescent="0.2">
      <c r="A134" s="23" t="s">
        <v>204</v>
      </c>
      <c r="B134" s="16">
        <v>2420</v>
      </c>
      <c r="C134" s="2" t="s">
        <v>64</v>
      </c>
      <c r="D134" s="2" t="s">
        <v>30</v>
      </c>
      <c r="E134" s="16">
        <v>122.959</v>
      </c>
      <c r="F134" s="16">
        <v>124.244</v>
      </c>
      <c r="G134" s="23">
        <v>14.8108</v>
      </c>
      <c r="H134" s="16">
        <v>4653.8990000000003</v>
      </c>
      <c r="I134" s="16">
        <v>974.11</v>
      </c>
      <c r="J134" s="23" t="s">
        <v>19</v>
      </c>
      <c r="K134" s="23" t="s">
        <v>19</v>
      </c>
      <c r="L134" s="25">
        <v>0.55000000000000004</v>
      </c>
    </row>
    <row r="135" spans="1:12" x14ac:dyDescent="0.2">
      <c r="A135" s="23" t="s">
        <v>205</v>
      </c>
      <c r="B135" s="16">
        <v>2440</v>
      </c>
      <c r="C135" s="2" t="s">
        <v>64</v>
      </c>
      <c r="D135" s="2" t="s">
        <v>30</v>
      </c>
      <c r="E135" s="16">
        <v>122.985</v>
      </c>
      <c r="F135" s="16">
        <v>124.35299999999999</v>
      </c>
      <c r="G135" s="23">
        <v>14.8108</v>
      </c>
      <c r="H135" s="16">
        <v>4634.4380000000001</v>
      </c>
      <c r="I135" s="16">
        <v>978.721</v>
      </c>
      <c r="J135" s="23" t="s">
        <v>19</v>
      </c>
      <c r="K135" s="23" t="s">
        <v>19</v>
      </c>
      <c r="L135" s="25">
        <v>0.55000000000000004</v>
      </c>
    </row>
    <row r="136" spans="1:12" x14ac:dyDescent="0.2">
      <c r="A136" s="23" t="s">
        <v>206</v>
      </c>
      <c r="B136" s="16">
        <v>2460</v>
      </c>
      <c r="C136" s="2" t="s">
        <v>64</v>
      </c>
      <c r="D136" s="2" t="s">
        <v>30</v>
      </c>
      <c r="E136" s="16">
        <v>123.011</v>
      </c>
      <c r="F136" s="16">
        <v>124.462</v>
      </c>
      <c r="G136" s="23">
        <v>14.8108</v>
      </c>
      <c r="H136" s="16">
        <v>4614.9769999999999</v>
      </c>
      <c r="I136" s="16">
        <v>983.33199999999999</v>
      </c>
      <c r="J136" s="23" t="s">
        <v>19</v>
      </c>
      <c r="K136" s="23" t="s">
        <v>19</v>
      </c>
      <c r="L136" s="25">
        <v>0.55000000000000004</v>
      </c>
    </row>
    <row r="137" spans="1:12" x14ac:dyDescent="0.2">
      <c r="A137" s="23" t="s">
        <v>207</v>
      </c>
      <c r="B137" s="16">
        <v>2480</v>
      </c>
      <c r="C137" s="2" t="s">
        <v>64</v>
      </c>
      <c r="D137" s="2" t="s">
        <v>30</v>
      </c>
      <c r="E137" s="16">
        <v>123.03700000000001</v>
      </c>
      <c r="F137" s="16">
        <v>124.572</v>
      </c>
      <c r="G137" s="23">
        <v>14.8108</v>
      </c>
      <c r="H137" s="16">
        <v>4595.5159999999996</v>
      </c>
      <c r="I137" s="16">
        <v>987.94299999999998</v>
      </c>
      <c r="J137" s="23" t="s">
        <v>19</v>
      </c>
      <c r="K137" s="23" t="s">
        <v>19</v>
      </c>
      <c r="L137" s="25">
        <v>0.55000000000000004</v>
      </c>
    </row>
    <row r="138" spans="1:12" x14ac:dyDescent="0.2">
      <c r="A138" s="23" t="s">
        <v>208</v>
      </c>
      <c r="B138" s="16">
        <v>2500</v>
      </c>
      <c r="C138" s="2" t="s">
        <v>64</v>
      </c>
      <c r="D138" s="2" t="s">
        <v>30</v>
      </c>
      <c r="E138" s="16">
        <v>123.062</v>
      </c>
      <c r="F138" s="16">
        <v>124.681</v>
      </c>
      <c r="G138" s="23">
        <v>14.8108</v>
      </c>
      <c r="H138" s="16">
        <v>4576.0540000000001</v>
      </c>
      <c r="I138" s="16">
        <v>992.55399999999997</v>
      </c>
      <c r="J138" s="23" t="s">
        <v>19</v>
      </c>
      <c r="K138" s="23" t="s">
        <v>19</v>
      </c>
      <c r="L138" s="25">
        <v>0.55000000000000004</v>
      </c>
    </row>
    <row r="139" spans="1:12" x14ac:dyDescent="0.2">
      <c r="A139" s="23" t="s">
        <v>209</v>
      </c>
      <c r="B139" s="16">
        <v>2520</v>
      </c>
      <c r="C139" s="2" t="s">
        <v>64</v>
      </c>
      <c r="D139" s="2" t="s">
        <v>32</v>
      </c>
      <c r="E139" s="16">
        <v>123.08799999999999</v>
      </c>
      <c r="F139" s="16">
        <v>124.786</v>
      </c>
      <c r="G139" s="23">
        <v>14.8108</v>
      </c>
      <c r="H139" s="16">
        <v>4556.5929999999998</v>
      </c>
      <c r="I139" s="16">
        <v>997.16600000000005</v>
      </c>
      <c r="J139" s="23" t="s">
        <v>19</v>
      </c>
      <c r="K139" s="23" t="s">
        <v>19</v>
      </c>
      <c r="L139" s="25">
        <v>0.5</v>
      </c>
    </row>
    <row r="140" spans="1:12" x14ac:dyDescent="0.2">
      <c r="A140" s="23" t="s">
        <v>210</v>
      </c>
      <c r="B140" s="16">
        <v>2540</v>
      </c>
      <c r="C140" s="2" t="s">
        <v>64</v>
      </c>
      <c r="D140" s="2" t="s">
        <v>32</v>
      </c>
      <c r="E140" s="16">
        <v>123.114</v>
      </c>
      <c r="F140" s="16">
        <v>124.881</v>
      </c>
      <c r="G140" s="23">
        <v>14.8108</v>
      </c>
      <c r="H140" s="16">
        <v>4537.1319999999996</v>
      </c>
      <c r="I140" s="16">
        <v>1001.777</v>
      </c>
      <c r="J140" s="23" t="s">
        <v>19</v>
      </c>
      <c r="K140" s="23" t="s">
        <v>19</v>
      </c>
      <c r="L140" s="25">
        <v>0.45</v>
      </c>
    </row>
    <row r="141" spans="1:12" x14ac:dyDescent="0.2">
      <c r="A141" s="23" t="s">
        <v>211</v>
      </c>
      <c r="B141" s="16">
        <v>2560</v>
      </c>
      <c r="C141" s="2" t="s">
        <v>64</v>
      </c>
      <c r="D141" s="2" t="s">
        <v>32</v>
      </c>
      <c r="E141" s="16">
        <v>123.139</v>
      </c>
      <c r="F141" s="16">
        <v>124.96599999999999</v>
      </c>
      <c r="G141" s="23">
        <v>14.8108</v>
      </c>
      <c r="H141" s="16">
        <v>4517.6710000000003</v>
      </c>
      <c r="I141" s="16">
        <v>1006.388</v>
      </c>
      <c r="J141" s="23" t="s">
        <v>19</v>
      </c>
      <c r="K141" s="23" t="s">
        <v>19</v>
      </c>
      <c r="L141" s="25">
        <v>0.4</v>
      </c>
    </row>
    <row r="142" spans="1:12" x14ac:dyDescent="0.2">
      <c r="A142" s="23" t="s">
        <v>212</v>
      </c>
      <c r="B142" s="16">
        <v>2580</v>
      </c>
      <c r="C142" s="2" t="s">
        <v>64</v>
      </c>
      <c r="D142" s="2" t="s">
        <v>32</v>
      </c>
      <c r="E142" s="16">
        <v>123.16500000000001</v>
      </c>
      <c r="F142" s="16">
        <v>125.041</v>
      </c>
      <c r="G142" s="23">
        <v>14.8108</v>
      </c>
      <c r="H142" s="16">
        <v>4498.21</v>
      </c>
      <c r="I142" s="16">
        <v>1010.999</v>
      </c>
      <c r="J142" s="23" t="s">
        <v>19</v>
      </c>
      <c r="K142" s="23" t="s">
        <v>19</v>
      </c>
      <c r="L142" s="25">
        <v>0.35</v>
      </c>
    </row>
    <row r="143" spans="1:12" x14ac:dyDescent="0.2">
      <c r="A143" s="23" t="s">
        <v>213</v>
      </c>
      <c r="B143" s="16">
        <v>2600</v>
      </c>
      <c r="C143" s="2" t="s">
        <v>64</v>
      </c>
      <c r="D143" s="2" t="s">
        <v>32</v>
      </c>
      <c r="E143" s="16">
        <v>123.191</v>
      </c>
      <c r="F143" s="16">
        <v>125.10599999999999</v>
      </c>
      <c r="G143" s="23">
        <v>14.8108</v>
      </c>
      <c r="H143" s="16">
        <v>4478.7479999999996</v>
      </c>
      <c r="I143" s="16">
        <v>1015.61</v>
      </c>
      <c r="J143" s="23" t="s">
        <v>19</v>
      </c>
      <c r="K143" s="23" t="s">
        <v>19</v>
      </c>
      <c r="L143" s="25">
        <v>0.3</v>
      </c>
    </row>
    <row r="144" spans="1:12" x14ac:dyDescent="0.2">
      <c r="A144" s="23" t="s">
        <v>214</v>
      </c>
      <c r="B144" s="16">
        <v>2620</v>
      </c>
      <c r="C144" s="2" t="s">
        <v>64</v>
      </c>
      <c r="D144" s="2" t="s">
        <v>32</v>
      </c>
      <c r="E144" s="16">
        <v>123.217</v>
      </c>
      <c r="F144" s="16">
        <v>125.161</v>
      </c>
      <c r="G144" s="23">
        <v>14.8108</v>
      </c>
      <c r="H144" s="16">
        <v>4459.2870000000003</v>
      </c>
      <c r="I144" s="16">
        <v>1020.221</v>
      </c>
      <c r="J144" s="23" t="s">
        <v>19</v>
      </c>
      <c r="K144" s="23" t="s">
        <v>19</v>
      </c>
      <c r="L144" s="25">
        <v>0.25</v>
      </c>
    </row>
    <row r="145" spans="1:12" x14ac:dyDescent="0.2">
      <c r="A145" s="23" t="s">
        <v>215</v>
      </c>
      <c r="B145" s="16">
        <v>2640</v>
      </c>
      <c r="C145" s="2" t="s">
        <v>64</v>
      </c>
      <c r="D145" s="2" t="s">
        <v>32</v>
      </c>
      <c r="E145" s="16">
        <v>123.238</v>
      </c>
      <c r="F145" s="16">
        <v>125.205</v>
      </c>
      <c r="G145" s="23">
        <v>14.8108</v>
      </c>
      <c r="H145" s="16">
        <v>4439.826</v>
      </c>
      <c r="I145" s="16">
        <v>1024.8320000000001</v>
      </c>
      <c r="J145" s="23" t="s">
        <v>19</v>
      </c>
      <c r="K145" s="23" t="s">
        <v>19</v>
      </c>
      <c r="L145" s="25">
        <v>0.2</v>
      </c>
    </row>
    <row r="146" spans="1:12" x14ac:dyDescent="0.2">
      <c r="A146" s="23" t="s">
        <v>216</v>
      </c>
      <c r="B146" s="16">
        <v>2660</v>
      </c>
      <c r="C146" s="2" t="s">
        <v>64</v>
      </c>
      <c r="D146" s="2" t="s">
        <v>32</v>
      </c>
      <c r="E146" s="16">
        <v>123.255</v>
      </c>
      <c r="F146" s="16">
        <v>125.24</v>
      </c>
      <c r="G146" s="23">
        <v>14.8108</v>
      </c>
      <c r="H146" s="16">
        <v>4420.3649999999998</v>
      </c>
      <c r="I146" s="16">
        <v>1029.443</v>
      </c>
      <c r="J146" s="23" t="s">
        <v>19</v>
      </c>
      <c r="K146" s="23" t="s">
        <v>19</v>
      </c>
      <c r="L146" s="25">
        <v>0.15</v>
      </c>
    </row>
    <row r="147" spans="1:12" x14ac:dyDescent="0.2">
      <c r="A147" s="23" t="s">
        <v>217</v>
      </c>
      <c r="B147" s="16">
        <v>2680</v>
      </c>
      <c r="C147" s="2" t="s">
        <v>64</v>
      </c>
      <c r="D147" s="2" t="s">
        <v>32</v>
      </c>
      <c r="E147" s="16">
        <v>123.27200000000001</v>
      </c>
      <c r="F147" s="16">
        <v>125.265</v>
      </c>
      <c r="G147" s="23">
        <v>14.8108</v>
      </c>
      <c r="H147" s="16">
        <v>4400.9040000000005</v>
      </c>
      <c r="I147" s="16">
        <v>1034.0540000000001</v>
      </c>
      <c r="J147" s="23" t="s">
        <v>19</v>
      </c>
      <c r="K147" s="23" t="s">
        <v>19</v>
      </c>
      <c r="L147" s="25">
        <v>0.1</v>
      </c>
    </row>
    <row r="148" spans="1:12" x14ac:dyDescent="0.2">
      <c r="A148" s="23" t="s">
        <v>218</v>
      </c>
      <c r="B148" s="16">
        <v>2700</v>
      </c>
      <c r="C148" s="2" t="s">
        <v>64</v>
      </c>
      <c r="D148" s="2" t="s">
        <v>32</v>
      </c>
      <c r="E148" s="16">
        <v>123.289</v>
      </c>
      <c r="F148" s="16">
        <v>125.28</v>
      </c>
      <c r="G148" s="23">
        <v>14.8108</v>
      </c>
      <c r="H148" s="16">
        <v>4381.4430000000002</v>
      </c>
      <c r="I148" s="16">
        <v>1038.665</v>
      </c>
      <c r="J148" s="23" t="s">
        <v>19</v>
      </c>
      <c r="K148" s="23" t="s">
        <v>19</v>
      </c>
      <c r="L148" s="25">
        <v>0.05</v>
      </c>
    </row>
    <row r="149" spans="1:12" x14ac:dyDescent="0.2">
      <c r="A149" s="23" t="s">
        <v>219</v>
      </c>
      <c r="B149" s="16">
        <v>2720</v>
      </c>
      <c r="C149" s="2" t="s">
        <v>64</v>
      </c>
      <c r="D149" s="2" t="s">
        <v>32</v>
      </c>
      <c r="E149" s="16">
        <v>123.306</v>
      </c>
      <c r="F149" s="16">
        <v>125.285</v>
      </c>
      <c r="G149" s="23">
        <v>14.8108</v>
      </c>
      <c r="H149" s="16">
        <v>4361.9809999999998</v>
      </c>
      <c r="I149" s="16">
        <v>1043.277</v>
      </c>
      <c r="J149" s="23" t="s">
        <v>19</v>
      </c>
      <c r="K149" s="23" t="s">
        <v>19</v>
      </c>
      <c r="L149" s="25">
        <v>0</v>
      </c>
    </row>
    <row r="150" spans="1:12" x14ac:dyDescent="0.2">
      <c r="A150" s="23" t="s">
        <v>220</v>
      </c>
      <c r="B150" s="16">
        <v>2740</v>
      </c>
      <c r="C150" s="2" t="s">
        <v>64</v>
      </c>
      <c r="D150" s="2" t="s">
        <v>32</v>
      </c>
      <c r="E150" s="16">
        <v>123.32299999999999</v>
      </c>
      <c r="F150" s="16">
        <v>125.28</v>
      </c>
      <c r="G150" s="23">
        <v>14.8108</v>
      </c>
      <c r="H150" s="16">
        <v>4342.5200000000004</v>
      </c>
      <c r="I150" s="16">
        <v>1047.8879999999999</v>
      </c>
      <c r="J150" s="23" t="s">
        <v>19</v>
      </c>
      <c r="K150" s="23" t="s">
        <v>19</v>
      </c>
      <c r="L150" s="25">
        <v>-0.05</v>
      </c>
    </row>
    <row r="151" spans="1:12" x14ac:dyDescent="0.2">
      <c r="A151" s="23" t="s">
        <v>221</v>
      </c>
      <c r="B151" s="16">
        <v>2760</v>
      </c>
      <c r="C151" s="2" t="s">
        <v>64</v>
      </c>
      <c r="D151" s="2" t="s">
        <v>32</v>
      </c>
      <c r="E151" s="16">
        <v>123.34</v>
      </c>
      <c r="F151" s="16">
        <v>125.265</v>
      </c>
      <c r="G151" s="23">
        <v>14.8108</v>
      </c>
      <c r="H151" s="16">
        <v>4323.0590000000002</v>
      </c>
      <c r="I151" s="16">
        <v>1052.499</v>
      </c>
      <c r="J151" s="23" t="s">
        <v>19</v>
      </c>
      <c r="K151" s="23" t="s">
        <v>19</v>
      </c>
      <c r="L151" s="25">
        <v>-0.1</v>
      </c>
    </row>
    <row r="152" spans="1:12" x14ac:dyDescent="0.2">
      <c r="A152" s="23" t="s">
        <v>222</v>
      </c>
      <c r="B152" s="16">
        <v>2780</v>
      </c>
      <c r="C152" s="2" t="s">
        <v>64</v>
      </c>
      <c r="D152" s="2" t="s">
        <v>32</v>
      </c>
      <c r="E152" s="16">
        <v>123.35599999999999</v>
      </c>
      <c r="F152" s="16">
        <v>125.24</v>
      </c>
      <c r="G152" s="23">
        <v>14.8108</v>
      </c>
      <c r="H152" s="16">
        <v>4303.598</v>
      </c>
      <c r="I152" s="16">
        <v>1057.1099999999999</v>
      </c>
      <c r="J152" s="23" t="s">
        <v>19</v>
      </c>
      <c r="K152" s="23" t="s">
        <v>19</v>
      </c>
      <c r="L152" s="25">
        <v>-0.15</v>
      </c>
    </row>
    <row r="153" spans="1:12" x14ac:dyDescent="0.2">
      <c r="A153" s="23" t="s">
        <v>223</v>
      </c>
      <c r="B153" s="16">
        <v>2800</v>
      </c>
      <c r="C153" s="2" t="s">
        <v>64</v>
      </c>
      <c r="D153" s="2" t="s">
        <v>32</v>
      </c>
      <c r="E153" s="16">
        <v>123.373</v>
      </c>
      <c r="F153" s="16">
        <v>125.205</v>
      </c>
      <c r="G153" s="23">
        <v>14.8108</v>
      </c>
      <c r="H153" s="16">
        <v>4284.1369999999997</v>
      </c>
      <c r="I153" s="16">
        <v>1061.721</v>
      </c>
      <c r="J153" s="23" t="s">
        <v>19</v>
      </c>
      <c r="K153" s="23" t="s">
        <v>19</v>
      </c>
      <c r="L153" s="25">
        <v>-0.2</v>
      </c>
    </row>
    <row r="154" spans="1:12" x14ac:dyDescent="0.2">
      <c r="A154" s="23" t="s">
        <v>224</v>
      </c>
      <c r="B154" s="16">
        <v>2820</v>
      </c>
      <c r="C154" s="2" t="s">
        <v>64</v>
      </c>
      <c r="D154" s="2" t="s">
        <v>32</v>
      </c>
      <c r="E154" s="16">
        <v>123.39</v>
      </c>
      <c r="F154" s="16">
        <v>125.16</v>
      </c>
      <c r="G154" s="23">
        <v>14.8108</v>
      </c>
      <c r="H154" s="16">
        <v>4264.6750000000002</v>
      </c>
      <c r="I154" s="16">
        <v>1066.3320000000001</v>
      </c>
      <c r="J154" s="23" t="s">
        <v>19</v>
      </c>
      <c r="K154" s="23" t="s">
        <v>19</v>
      </c>
      <c r="L154" s="25">
        <v>-0.25</v>
      </c>
    </row>
    <row r="155" spans="1:12" x14ac:dyDescent="0.2">
      <c r="A155" s="23" t="s">
        <v>225</v>
      </c>
      <c r="B155" s="16">
        <v>2840</v>
      </c>
      <c r="C155" s="2" t="s">
        <v>64</v>
      </c>
      <c r="D155" s="2" t="s">
        <v>32</v>
      </c>
      <c r="E155" s="16">
        <v>123.407</v>
      </c>
      <c r="F155" s="16">
        <v>125.105</v>
      </c>
      <c r="G155" s="23">
        <v>14.8108</v>
      </c>
      <c r="H155" s="16">
        <v>4245.2139999999999</v>
      </c>
      <c r="I155" s="16">
        <v>1070.943</v>
      </c>
      <c r="J155" s="23" t="s">
        <v>19</v>
      </c>
      <c r="K155" s="23" t="s">
        <v>19</v>
      </c>
      <c r="L155" s="25">
        <v>-0.3</v>
      </c>
    </row>
    <row r="156" spans="1:12" x14ac:dyDescent="0.2">
      <c r="A156" s="23" t="s">
        <v>226</v>
      </c>
      <c r="B156" s="16">
        <v>2849.9749999999999</v>
      </c>
      <c r="C156" s="2" t="s">
        <v>66</v>
      </c>
      <c r="D156" s="2" t="s">
        <v>32</v>
      </c>
      <c r="E156" s="16">
        <v>123.416</v>
      </c>
      <c r="F156" s="16">
        <v>125.074</v>
      </c>
      <c r="G156" s="23">
        <v>14.8108</v>
      </c>
      <c r="H156" s="16">
        <v>4235.5079999999998</v>
      </c>
      <c r="I156" s="16">
        <v>1073.2429999999999</v>
      </c>
      <c r="J156" s="23" t="s">
        <v>19</v>
      </c>
      <c r="K156" s="23" t="s">
        <v>19</v>
      </c>
      <c r="L156" s="25">
        <v>-0.33</v>
      </c>
    </row>
    <row r="157" spans="1:12" x14ac:dyDescent="0.2">
      <c r="A157" s="23" t="s">
        <v>227</v>
      </c>
      <c r="B157" s="16">
        <v>2860</v>
      </c>
      <c r="C157" s="2" t="s">
        <v>66</v>
      </c>
      <c r="D157" s="2" t="s">
        <v>32</v>
      </c>
      <c r="E157" s="16">
        <v>123.42400000000001</v>
      </c>
      <c r="F157" s="16">
        <v>125.04</v>
      </c>
      <c r="G157" s="23">
        <v>14.805099999999999</v>
      </c>
      <c r="H157" s="16">
        <v>4225.7529999999997</v>
      </c>
      <c r="I157" s="16">
        <v>1075.5540000000001</v>
      </c>
      <c r="J157" s="23" t="s">
        <v>19</v>
      </c>
      <c r="K157" s="23" t="s">
        <v>19</v>
      </c>
      <c r="L157" s="25">
        <v>-0.35</v>
      </c>
    </row>
    <row r="158" spans="1:12" x14ac:dyDescent="0.2">
      <c r="A158" s="23" t="s">
        <v>228</v>
      </c>
      <c r="B158" s="16">
        <v>2880</v>
      </c>
      <c r="C158" s="2" t="s">
        <v>66</v>
      </c>
      <c r="D158" s="2" t="s">
        <v>32</v>
      </c>
      <c r="E158" s="16">
        <v>123.441</v>
      </c>
      <c r="F158" s="16">
        <v>124.965</v>
      </c>
      <c r="G158" s="23">
        <v>14.7598</v>
      </c>
      <c r="H158" s="16">
        <v>4206.29</v>
      </c>
      <c r="I158" s="16">
        <v>1080.1579999999999</v>
      </c>
      <c r="J158" s="23" t="s">
        <v>19</v>
      </c>
      <c r="K158" s="23" t="s">
        <v>19</v>
      </c>
      <c r="L158" s="25">
        <v>-0.4</v>
      </c>
    </row>
    <row r="159" spans="1:12" x14ac:dyDescent="0.2">
      <c r="A159" s="23" t="s">
        <v>229</v>
      </c>
      <c r="B159" s="16">
        <v>2900</v>
      </c>
      <c r="C159" s="2" t="s">
        <v>66</v>
      </c>
      <c r="D159" s="2" t="s">
        <v>32</v>
      </c>
      <c r="E159" s="16">
        <v>123.458</v>
      </c>
      <c r="F159" s="16">
        <v>124.88</v>
      </c>
      <c r="G159" s="23">
        <v>14.6692</v>
      </c>
      <c r="H159" s="16">
        <v>4186.8220000000001</v>
      </c>
      <c r="I159" s="16">
        <v>1084.74</v>
      </c>
      <c r="J159" s="23" t="s">
        <v>19</v>
      </c>
      <c r="K159" s="23" t="s">
        <v>19</v>
      </c>
      <c r="L159" s="25">
        <v>-0.45</v>
      </c>
    </row>
    <row r="160" spans="1:12" x14ac:dyDescent="0.2">
      <c r="A160" s="23" t="s">
        <v>230</v>
      </c>
      <c r="B160" s="16">
        <v>2920</v>
      </c>
      <c r="C160" s="2" t="s">
        <v>66</v>
      </c>
      <c r="D160" s="2" t="s">
        <v>32</v>
      </c>
      <c r="E160" s="16">
        <v>123.47499999999999</v>
      </c>
      <c r="F160" s="16">
        <v>124.78400000000001</v>
      </c>
      <c r="G160" s="23">
        <v>14.5334</v>
      </c>
      <c r="H160" s="16">
        <v>4167.3459999999995</v>
      </c>
      <c r="I160" s="16">
        <v>1089.289</v>
      </c>
      <c r="J160" s="23" t="s">
        <v>19</v>
      </c>
      <c r="K160" s="23" t="s">
        <v>19</v>
      </c>
      <c r="L160" s="25">
        <v>-0.5</v>
      </c>
    </row>
    <row r="161" spans="1:12" x14ac:dyDescent="0.2">
      <c r="A161" s="23" t="s">
        <v>231</v>
      </c>
      <c r="B161" s="16">
        <v>2940</v>
      </c>
      <c r="C161" s="2" t="s">
        <v>66</v>
      </c>
      <c r="D161" s="2" t="s">
        <v>32</v>
      </c>
      <c r="E161" s="16">
        <v>123.492</v>
      </c>
      <c r="F161" s="16">
        <v>124.679</v>
      </c>
      <c r="G161" s="23">
        <v>14.3522</v>
      </c>
      <c r="H161" s="16">
        <v>4147.8590000000004</v>
      </c>
      <c r="I161" s="16">
        <v>1093.788</v>
      </c>
      <c r="J161" s="23" t="s">
        <v>19</v>
      </c>
      <c r="K161" s="23" t="s">
        <v>19</v>
      </c>
      <c r="L161" s="25">
        <v>-0.55000000000000004</v>
      </c>
    </row>
    <row r="162" spans="1:12" x14ac:dyDescent="0.2">
      <c r="A162" s="23" t="s">
        <v>232</v>
      </c>
      <c r="B162" s="16">
        <v>2960</v>
      </c>
      <c r="C162" s="2" t="s">
        <v>66</v>
      </c>
      <c r="D162" s="2" t="s">
        <v>32</v>
      </c>
      <c r="E162" s="16">
        <v>123.509</v>
      </c>
      <c r="F162" s="16">
        <v>124.56399999999999</v>
      </c>
      <c r="G162" s="23">
        <v>14.1258</v>
      </c>
      <c r="H162" s="16">
        <v>4128.357</v>
      </c>
      <c r="I162" s="16">
        <v>1098.2249999999999</v>
      </c>
      <c r="J162" s="23" t="s">
        <v>19</v>
      </c>
      <c r="K162" s="23" t="s">
        <v>19</v>
      </c>
      <c r="L162" s="25">
        <v>-0.6</v>
      </c>
    </row>
    <row r="163" spans="1:12" x14ac:dyDescent="0.2">
      <c r="A163" s="23" t="s">
        <v>233</v>
      </c>
      <c r="B163" s="16">
        <v>2980</v>
      </c>
      <c r="C163" s="2" t="s">
        <v>66</v>
      </c>
      <c r="D163" s="2" t="s">
        <v>32</v>
      </c>
      <c r="E163" s="16">
        <v>123.526</v>
      </c>
      <c r="F163" s="16">
        <v>124.43899999999999</v>
      </c>
      <c r="G163" s="23">
        <v>13.854100000000001</v>
      </c>
      <c r="H163" s="16">
        <v>4108.8389999999999</v>
      </c>
      <c r="I163" s="16">
        <v>1102.586</v>
      </c>
      <c r="J163" s="23" t="s">
        <v>19</v>
      </c>
      <c r="K163" s="23" t="s">
        <v>19</v>
      </c>
      <c r="L163" s="25">
        <v>-0.65</v>
      </c>
    </row>
    <row r="164" spans="1:12" x14ac:dyDescent="0.2">
      <c r="A164" s="23" t="s">
        <v>234</v>
      </c>
      <c r="B164" s="16">
        <v>3000</v>
      </c>
      <c r="C164" s="2" t="s">
        <v>66</v>
      </c>
      <c r="D164" s="2" t="s">
        <v>32</v>
      </c>
      <c r="E164" s="16">
        <v>123.542</v>
      </c>
      <c r="F164" s="16">
        <v>124.304</v>
      </c>
      <c r="G164" s="23">
        <v>13.5372</v>
      </c>
      <c r="H164" s="16">
        <v>4089.3</v>
      </c>
      <c r="I164" s="16">
        <v>1106.857</v>
      </c>
      <c r="J164" s="23" t="s">
        <v>19</v>
      </c>
      <c r="K164" s="23" t="s">
        <v>19</v>
      </c>
      <c r="L164" s="25">
        <v>-0.7</v>
      </c>
    </row>
    <row r="165" spans="1:12" x14ac:dyDescent="0.2">
      <c r="A165" s="23" t="s">
        <v>235</v>
      </c>
      <c r="B165" s="16">
        <v>3020</v>
      </c>
      <c r="C165" s="2" t="s">
        <v>66</v>
      </c>
      <c r="D165" s="2" t="s">
        <v>36</v>
      </c>
      <c r="E165" s="16">
        <v>123.559</v>
      </c>
      <c r="F165" s="16">
        <v>124.15900000000001</v>
      </c>
      <c r="G165" s="23">
        <v>13.174899999999999</v>
      </c>
      <c r="H165" s="16">
        <v>4069.739</v>
      </c>
      <c r="I165" s="16">
        <v>1111.0229999999999</v>
      </c>
      <c r="J165" s="23" t="s">
        <v>19</v>
      </c>
      <c r="K165" s="23" t="s">
        <v>19</v>
      </c>
      <c r="L165" s="25">
        <v>-0.74</v>
      </c>
    </row>
    <row r="166" spans="1:12" x14ac:dyDescent="0.2">
      <c r="A166" s="23" t="s">
        <v>236</v>
      </c>
      <c r="B166" s="16">
        <v>3040</v>
      </c>
      <c r="C166" s="2" t="s">
        <v>66</v>
      </c>
      <c r="D166" s="2" t="s">
        <v>36</v>
      </c>
      <c r="E166" s="16">
        <v>123.575</v>
      </c>
      <c r="F166" s="16">
        <v>124.01</v>
      </c>
      <c r="G166" s="23">
        <v>12.7675</v>
      </c>
      <c r="H166" s="16">
        <v>4050.1529999999998</v>
      </c>
      <c r="I166" s="16">
        <v>1115.0709999999999</v>
      </c>
      <c r="J166" s="23" t="s">
        <v>19</v>
      </c>
      <c r="K166" s="23" t="s">
        <v>19</v>
      </c>
      <c r="L166" s="25">
        <v>-0.74</v>
      </c>
    </row>
    <row r="167" spans="1:12" x14ac:dyDescent="0.2">
      <c r="A167" s="23" t="s">
        <v>237</v>
      </c>
      <c r="B167" s="16">
        <v>3060</v>
      </c>
      <c r="C167" s="2" t="s">
        <v>66</v>
      </c>
      <c r="D167" s="2" t="s">
        <v>36</v>
      </c>
      <c r="E167" s="16">
        <v>123.592</v>
      </c>
      <c r="F167" s="16">
        <v>123.861</v>
      </c>
      <c r="G167" s="23">
        <v>12.3147</v>
      </c>
      <c r="H167" s="16">
        <v>4030.54</v>
      </c>
      <c r="I167" s="16">
        <v>1118.9870000000001</v>
      </c>
      <c r="J167" s="23" t="s">
        <v>19</v>
      </c>
      <c r="K167" s="23" t="s">
        <v>19</v>
      </c>
      <c r="L167" s="25">
        <v>-0.74</v>
      </c>
    </row>
    <row r="168" spans="1:12" x14ac:dyDescent="0.2">
      <c r="A168" s="23" t="s">
        <v>238</v>
      </c>
      <c r="B168" s="16">
        <v>3080</v>
      </c>
      <c r="C168" s="2" t="s">
        <v>66</v>
      </c>
      <c r="D168" s="2" t="s">
        <v>36</v>
      </c>
      <c r="E168" s="16">
        <v>123.608</v>
      </c>
      <c r="F168" s="16">
        <v>123.71299999999999</v>
      </c>
      <c r="G168" s="23">
        <v>11.816700000000001</v>
      </c>
      <c r="H168" s="16">
        <v>4010.8980000000001</v>
      </c>
      <c r="I168" s="16">
        <v>1122.7560000000001</v>
      </c>
      <c r="J168" s="23" t="s">
        <v>19</v>
      </c>
      <c r="K168" s="23" t="s">
        <v>19</v>
      </c>
      <c r="L168" s="25">
        <v>-0.74</v>
      </c>
    </row>
    <row r="169" spans="1:12" x14ac:dyDescent="0.2">
      <c r="A169" s="23" t="s">
        <v>239</v>
      </c>
      <c r="B169" s="16">
        <v>3100</v>
      </c>
      <c r="C169" s="2" t="s">
        <v>66</v>
      </c>
      <c r="D169" s="2" t="s">
        <v>36</v>
      </c>
      <c r="E169" s="16">
        <v>123.624</v>
      </c>
      <c r="F169" s="16">
        <v>123.56399999999999</v>
      </c>
      <c r="G169" s="23">
        <v>11.273400000000001</v>
      </c>
      <c r="H169" s="16">
        <v>3991.2260000000001</v>
      </c>
      <c r="I169" s="16">
        <v>1126.364</v>
      </c>
      <c r="J169" s="23" t="s">
        <v>19</v>
      </c>
      <c r="K169" s="23" t="s">
        <v>19</v>
      </c>
      <c r="L169" s="25">
        <v>-0.74</v>
      </c>
    </row>
    <row r="170" spans="1:12" x14ac:dyDescent="0.2">
      <c r="A170" s="23" t="s">
        <v>240</v>
      </c>
      <c r="B170" s="16">
        <v>3120</v>
      </c>
      <c r="C170" s="2" t="s">
        <v>66</v>
      </c>
      <c r="D170" s="2" t="s">
        <v>36</v>
      </c>
      <c r="E170" s="16">
        <v>123.64</v>
      </c>
      <c r="F170" s="16">
        <v>123.41500000000001</v>
      </c>
      <c r="G170" s="23">
        <v>10.684799999999999</v>
      </c>
      <c r="H170" s="16">
        <v>3971.5230000000001</v>
      </c>
      <c r="I170" s="16">
        <v>1129.798</v>
      </c>
      <c r="J170" s="23" t="s">
        <v>19</v>
      </c>
      <c r="K170" s="23" t="s">
        <v>19</v>
      </c>
      <c r="L170" s="25">
        <v>-0.74</v>
      </c>
    </row>
    <row r="171" spans="1:12" x14ac:dyDescent="0.2">
      <c r="A171" s="23" t="s">
        <v>241</v>
      </c>
      <c r="B171" s="16">
        <v>3140</v>
      </c>
      <c r="C171" s="2" t="s">
        <v>66</v>
      </c>
      <c r="D171" s="2" t="s">
        <v>36</v>
      </c>
      <c r="E171" s="16">
        <v>123.655</v>
      </c>
      <c r="F171" s="16">
        <v>123.26600000000001</v>
      </c>
      <c r="G171" s="23">
        <v>10.0509</v>
      </c>
      <c r="H171" s="16">
        <v>3951.788</v>
      </c>
      <c r="I171" s="16">
        <v>1133.0419999999999</v>
      </c>
      <c r="J171" s="23" t="s">
        <v>19</v>
      </c>
      <c r="K171" s="23" t="s">
        <v>19</v>
      </c>
      <c r="L171" s="25">
        <v>-0.74</v>
      </c>
    </row>
    <row r="172" spans="1:12" x14ac:dyDescent="0.2">
      <c r="A172" s="23" t="s">
        <v>242</v>
      </c>
      <c r="B172" s="16">
        <v>3160</v>
      </c>
      <c r="C172" s="2" t="s">
        <v>66</v>
      </c>
      <c r="D172" s="2" t="s">
        <v>38</v>
      </c>
      <c r="E172" s="16">
        <v>123.67100000000001</v>
      </c>
      <c r="F172" s="16">
        <v>123.117</v>
      </c>
      <c r="G172" s="23">
        <v>9.3718000000000004</v>
      </c>
      <c r="H172" s="16">
        <v>3932.0210000000002</v>
      </c>
      <c r="I172" s="16">
        <v>1136.0820000000001</v>
      </c>
      <c r="J172" s="23" t="s">
        <v>19</v>
      </c>
      <c r="K172" s="23" t="s">
        <v>19</v>
      </c>
      <c r="L172" s="25">
        <v>-0.74</v>
      </c>
    </row>
    <row r="173" spans="1:12" x14ac:dyDescent="0.2">
      <c r="A173" s="23" t="s">
        <v>243</v>
      </c>
      <c r="B173" s="16">
        <v>3180</v>
      </c>
      <c r="C173" s="2" t="s">
        <v>66</v>
      </c>
      <c r="D173" s="2" t="s">
        <v>38</v>
      </c>
      <c r="E173" s="16">
        <v>123.666</v>
      </c>
      <c r="F173" s="16">
        <v>122.971</v>
      </c>
      <c r="G173" s="23">
        <v>8.6473999999999993</v>
      </c>
      <c r="H173" s="16">
        <v>3912.221</v>
      </c>
      <c r="I173" s="16">
        <v>1138.904</v>
      </c>
      <c r="J173" s="23" t="s">
        <v>19</v>
      </c>
      <c r="K173" s="23" t="s">
        <v>19</v>
      </c>
      <c r="L173" s="25">
        <v>-0.71</v>
      </c>
    </row>
    <row r="174" spans="1:12" x14ac:dyDescent="0.2">
      <c r="A174" s="23" t="s">
        <v>244</v>
      </c>
      <c r="B174" s="16">
        <v>3200</v>
      </c>
      <c r="C174" s="2" t="s">
        <v>66</v>
      </c>
      <c r="D174" s="2" t="s">
        <v>38</v>
      </c>
      <c r="E174" s="16">
        <v>123.654</v>
      </c>
      <c r="F174" s="16">
        <v>122.831</v>
      </c>
      <c r="G174" s="23">
        <v>7.8777999999999997</v>
      </c>
      <c r="H174" s="16">
        <v>3892.39</v>
      </c>
      <c r="I174" s="16">
        <v>1141.4939999999999</v>
      </c>
      <c r="J174" s="23" t="s">
        <v>19</v>
      </c>
      <c r="K174" s="23" t="s">
        <v>19</v>
      </c>
      <c r="L174" s="25">
        <v>-0.69</v>
      </c>
    </row>
    <row r="175" spans="1:12" x14ac:dyDescent="0.2">
      <c r="A175" s="23" t="s">
        <v>245</v>
      </c>
      <c r="B175" s="16">
        <v>3220</v>
      </c>
      <c r="C175" s="2" t="s">
        <v>66</v>
      </c>
      <c r="D175" s="2" t="s">
        <v>38</v>
      </c>
      <c r="E175" s="16">
        <v>123.642</v>
      </c>
      <c r="F175" s="16">
        <v>122.697</v>
      </c>
      <c r="G175" s="23">
        <v>7.0628000000000002</v>
      </c>
      <c r="H175" s="16">
        <v>3872.527</v>
      </c>
      <c r="I175" s="16">
        <v>1143.836</v>
      </c>
      <c r="J175" s="23" t="s">
        <v>19</v>
      </c>
      <c r="K175" s="23" t="s">
        <v>19</v>
      </c>
      <c r="L175" s="25">
        <v>-0.66</v>
      </c>
    </row>
    <row r="176" spans="1:12" x14ac:dyDescent="0.2">
      <c r="A176" s="23" t="s">
        <v>246</v>
      </c>
      <c r="B176" s="16">
        <v>3224.9749999999999</v>
      </c>
      <c r="C176" s="2" t="s">
        <v>67</v>
      </c>
      <c r="D176" s="2" t="s">
        <v>38</v>
      </c>
      <c r="E176" s="16">
        <v>123.639</v>
      </c>
      <c r="F176" s="16">
        <v>122.664</v>
      </c>
      <c r="G176" s="23">
        <v>6.8531000000000004</v>
      </c>
      <c r="H176" s="16">
        <v>3867.5819999999999</v>
      </c>
      <c r="I176" s="16">
        <v>1144.3789999999999</v>
      </c>
      <c r="J176" s="23" t="s">
        <v>19</v>
      </c>
      <c r="K176" s="23" t="s">
        <v>19</v>
      </c>
      <c r="L176" s="25">
        <v>-0.65</v>
      </c>
    </row>
    <row r="177" spans="1:12" x14ac:dyDescent="0.2">
      <c r="A177" s="23" t="s">
        <v>247</v>
      </c>
      <c r="B177" s="16">
        <v>3240</v>
      </c>
      <c r="C177" s="2" t="s">
        <v>67</v>
      </c>
      <c r="D177" s="2" t="s">
        <v>38</v>
      </c>
      <c r="E177" s="16">
        <v>123.63</v>
      </c>
      <c r="F177" s="16">
        <v>122.568</v>
      </c>
      <c r="G177" s="23">
        <v>6.2153999999999998</v>
      </c>
      <c r="H177" s="16">
        <v>3852.636</v>
      </c>
      <c r="I177" s="16">
        <v>1145.9179999999999</v>
      </c>
      <c r="J177" s="23" t="s">
        <v>19</v>
      </c>
      <c r="K177" s="23" t="s">
        <v>19</v>
      </c>
      <c r="L177" s="25">
        <v>-0.63</v>
      </c>
    </row>
    <row r="178" spans="1:12" x14ac:dyDescent="0.2">
      <c r="A178" s="23" t="s">
        <v>248</v>
      </c>
      <c r="B178" s="16">
        <v>3260</v>
      </c>
      <c r="C178" s="2" t="s">
        <v>67</v>
      </c>
      <c r="D178" s="2" t="s">
        <v>38</v>
      </c>
      <c r="E178" s="16">
        <v>123.61799999999999</v>
      </c>
      <c r="F178" s="16">
        <v>122.44499999999999</v>
      </c>
      <c r="G178" s="23">
        <v>5.3666</v>
      </c>
      <c r="H178" s="16">
        <v>3832.7190000000001</v>
      </c>
      <c r="I178" s="16">
        <v>1147.7349999999999</v>
      </c>
      <c r="J178" s="23" t="s">
        <v>19</v>
      </c>
      <c r="K178" s="23" t="s">
        <v>19</v>
      </c>
      <c r="L178" s="25">
        <v>-0.6</v>
      </c>
    </row>
    <row r="179" spans="1:12" x14ac:dyDescent="0.2">
      <c r="A179" s="23" t="s">
        <v>249</v>
      </c>
      <c r="B179" s="16">
        <v>3280</v>
      </c>
      <c r="C179" s="2" t="s">
        <v>67</v>
      </c>
      <c r="D179" s="2" t="s">
        <v>38</v>
      </c>
      <c r="E179" s="16">
        <v>123.607</v>
      </c>
      <c r="F179" s="16">
        <v>122.328</v>
      </c>
      <c r="G179" s="23">
        <v>4.5178000000000003</v>
      </c>
      <c r="H179" s="16">
        <v>3812.779</v>
      </c>
      <c r="I179" s="16">
        <v>1149.2860000000001</v>
      </c>
      <c r="J179" s="23" t="s">
        <v>19</v>
      </c>
      <c r="K179" s="23" t="s">
        <v>19</v>
      </c>
      <c r="L179" s="25">
        <v>-0.56999999999999995</v>
      </c>
    </row>
    <row r="180" spans="1:12" x14ac:dyDescent="0.2">
      <c r="A180" s="23" t="s">
        <v>250</v>
      </c>
      <c r="B180" s="16">
        <v>3300</v>
      </c>
      <c r="C180" s="2" t="s">
        <v>67</v>
      </c>
      <c r="D180" s="2" t="s">
        <v>38</v>
      </c>
      <c r="E180" s="16">
        <v>123.595</v>
      </c>
      <c r="F180" s="16">
        <v>122.217</v>
      </c>
      <c r="G180" s="23">
        <v>3.6688999999999998</v>
      </c>
      <c r="H180" s="16">
        <v>3792.8209999999999</v>
      </c>
      <c r="I180" s="16">
        <v>1150.5709999999999</v>
      </c>
      <c r="J180" s="23" t="s">
        <v>19</v>
      </c>
      <c r="K180" s="23" t="s">
        <v>19</v>
      </c>
      <c r="L180" s="25">
        <v>-0.54</v>
      </c>
    </row>
    <row r="181" spans="1:12" x14ac:dyDescent="0.2">
      <c r="A181" s="23" t="s">
        <v>251</v>
      </c>
      <c r="B181" s="16">
        <v>3320</v>
      </c>
      <c r="C181" s="2" t="s">
        <v>67</v>
      </c>
      <c r="D181" s="2" t="s">
        <v>38</v>
      </c>
      <c r="E181" s="16">
        <v>123.584</v>
      </c>
      <c r="F181" s="16">
        <v>122.111</v>
      </c>
      <c r="G181" s="23">
        <v>2.8201000000000001</v>
      </c>
      <c r="H181" s="16">
        <v>3772.8470000000002</v>
      </c>
      <c r="I181" s="16">
        <v>1151.5899999999999</v>
      </c>
      <c r="J181" s="23" t="s">
        <v>19</v>
      </c>
      <c r="K181" s="23" t="s">
        <v>19</v>
      </c>
      <c r="L181" s="25">
        <v>-0.51</v>
      </c>
    </row>
    <row r="182" spans="1:12" x14ac:dyDescent="0.2">
      <c r="A182" s="23" t="s">
        <v>252</v>
      </c>
      <c r="B182" s="16">
        <v>3340</v>
      </c>
      <c r="C182" s="2" t="s">
        <v>67</v>
      </c>
      <c r="D182" s="2" t="s">
        <v>38</v>
      </c>
      <c r="E182" s="16">
        <v>123.57299999999999</v>
      </c>
      <c r="F182" s="16">
        <v>122.011</v>
      </c>
      <c r="G182" s="23">
        <v>1.9713000000000001</v>
      </c>
      <c r="H182" s="16">
        <v>3752.8609999999999</v>
      </c>
      <c r="I182" s="16">
        <v>1152.3430000000001</v>
      </c>
      <c r="J182" s="23" t="s">
        <v>19</v>
      </c>
      <c r="K182" s="23" t="s">
        <v>19</v>
      </c>
      <c r="L182" s="25">
        <v>-0.49</v>
      </c>
    </row>
    <row r="183" spans="1:12" x14ac:dyDescent="0.2">
      <c r="A183" s="23" t="s">
        <v>253</v>
      </c>
      <c r="B183" s="16">
        <v>3360</v>
      </c>
      <c r="C183" s="2" t="s">
        <v>67</v>
      </c>
      <c r="D183" s="2" t="s">
        <v>38</v>
      </c>
      <c r="E183" s="16">
        <v>123.562</v>
      </c>
      <c r="F183" s="16">
        <v>121.917</v>
      </c>
      <c r="G183" s="23">
        <v>1.1225000000000001</v>
      </c>
      <c r="H183" s="16">
        <v>3732.8670000000002</v>
      </c>
      <c r="I183" s="16">
        <v>1152.829</v>
      </c>
      <c r="J183" s="23" t="s">
        <v>19</v>
      </c>
      <c r="K183" s="23" t="s">
        <v>19</v>
      </c>
      <c r="L183" s="25">
        <v>-0.46</v>
      </c>
    </row>
    <row r="184" spans="1:12" x14ac:dyDescent="0.2">
      <c r="A184" s="23" t="s">
        <v>254</v>
      </c>
      <c r="B184" s="16">
        <v>3380</v>
      </c>
      <c r="C184" s="2" t="s">
        <v>67</v>
      </c>
      <c r="D184" s="2" t="s">
        <v>38</v>
      </c>
      <c r="E184" s="16">
        <v>123.551</v>
      </c>
      <c r="F184" s="16">
        <v>121.828</v>
      </c>
      <c r="G184" s="23">
        <v>0.27360000000000001</v>
      </c>
      <c r="H184" s="16">
        <v>3712.8690000000001</v>
      </c>
      <c r="I184" s="16">
        <v>1153.048</v>
      </c>
      <c r="J184" s="23" t="s">
        <v>19</v>
      </c>
      <c r="K184" s="23" t="s">
        <v>19</v>
      </c>
      <c r="L184" s="25">
        <v>-0.43</v>
      </c>
    </row>
    <row r="185" spans="1:12" x14ac:dyDescent="0.2">
      <c r="A185" s="23" t="s">
        <v>255</v>
      </c>
      <c r="B185" s="16">
        <v>3400</v>
      </c>
      <c r="C185" s="2" t="s">
        <v>67</v>
      </c>
      <c r="D185" s="2" t="s">
        <v>38</v>
      </c>
      <c r="E185" s="16">
        <v>123.54</v>
      </c>
      <c r="F185" s="16">
        <v>121.745</v>
      </c>
      <c r="G185" s="23">
        <v>399.4248</v>
      </c>
      <c r="H185" s="16">
        <v>3692.8690000000001</v>
      </c>
      <c r="I185" s="16">
        <v>1153</v>
      </c>
      <c r="J185" s="23" t="s">
        <v>19</v>
      </c>
      <c r="K185" s="23" t="s">
        <v>19</v>
      </c>
      <c r="L185" s="25">
        <v>-0.4</v>
      </c>
    </row>
    <row r="186" spans="1:12" x14ac:dyDescent="0.2">
      <c r="A186" s="23" t="s">
        <v>256</v>
      </c>
      <c r="B186" s="16">
        <v>3420</v>
      </c>
      <c r="C186" s="2" t="s">
        <v>67</v>
      </c>
      <c r="D186" s="2" t="s">
        <v>38</v>
      </c>
      <c r="E186" s="16">
        <v>123.53</v>
      </c>
      <c r="F186" s="16">
        <v>121.66800000000001</v>
      </c>
      <c r="G186" s="23">
        <v>398.57600000000002</v>
      </c>
      <c r="H186" s="16">
        <v>3672.8719999999998</v>
      </c>
      <c r="I186" s="16">
        <v>1152.6859999999999</v>
      </c>
      <c r="J186" s="23" t="s">
        <v>19</v>
      </c>
      <c r="K186" s="23" t="s">
        <v>19</v>
      </c>
      <c r="L186" s="25">
        <v>-0.37</v>
      </c>
    </row>
    <row r="187" spans="1:12" x14ac:dyDescent="0.2">
      <c r="A187" s="23" t="s">
        <v>257</v>
      </c>
      <c r="B187" s="16">
        <v>3440</v>
      </c>
      <c r="C187" s="2" t="s">
        <v>67</v>
      </c>
      <c r="D187" s="2" t="s">
        <v>38</v>
      </c>
      <c r="E187" s="16">
        <v>123.51900000000001</v>
      </c>
      <c r="F187" s="16">
        <v>121.59699999999999</v>
      </c>
      <c r="G187" s="23">
        <v>397.72710000000001</v>
      </c>
      <c r="H187" s="16">
        <v>3652.88</v>
      </c>
      <c r="I187" s="16">
        <v>1152.106</v>
      </c>
      <c r="J187" s="23" t="s">
        <v>19</v>
      </c>
      <c r="K187" s="23" t="s">
        <v>19</v>
      </c>
      <c r="L187" s="25">
        <v>-0.34</v>
      </c>
    </row>
    <row r="188" spans="1:12" x14ac:dyDescent="0.2">
      <c r="A188" s="23" t="s">
        <v>258</v>
      </c>
      <c r="B188" s="16">
        <v>3460</v>
      </c>
      <c r="C188" s="2" t="s">
        <v>67</v>
      </c>
      <c r="D188" s="2" t="s">
        <v>38</v>
      </c>
      <c r="E188" s="16">
        <v>123.509</v>
      </c>
      <c r="F188" s="16">
        <v>121.53100000000001</v>
      </c>
      <c r="G188" s="23">
        <v>396.87830000000002</v>
      </c>
      <c r="H188" s="16">
        <v>3632.8980000000001</v>
      </c>
      <c r="I188" s="16">
        <v>1151.259</v>
      </c>
      <c r="J188" s="23" t="s">
        <v>19</v>
      </c>
      <c r="K188" s="23" t="s">
        <v>19</v>
      </c>
      <c r="L188" s="25">
        <v>-0.31</v>
      </c>
    </row>
    <row r="189" spans="1:12" x14ac:dyDescent="0.2">
      <c r="A189" s="23" t="s">
        <v>259</v>
      </c>
      <c r="B189" s="16">
        <v>3480</v>
      </c>
      <c r="C189" s="2" t="s">
        <v>67</v>
      </c>
      <c r="D189" s="2" t="s">
        <v>38</v>
      </c>
      <c r="E189" s="16">
        <v>123.499</v>
      </c>
      <c r="F189" s="16">
        <v>121.471</v>
      </c>
      <c r="G189" s="23">
        <v>396.02949999999998</v>
      </c>
      <c r="H189" s="16">
        <v>3612.9290000000001</v>
      </c>
      <c r="I189" s="16">
        <v>1150.145</v>
      </c>
      <c r="J189" s="23" t="s">
        <v>19</v>
      </c>
      <c r="K189" s="23" t="s">
        <v>19</v>
      </c>
      <c r="L189" s="25">
        <v>-0.28999999999999998</v>
      </c>
    </row>
    <row r="190" spans="1:12" x14ac:dyDescent="0.2">
      <c r="A190" s="23" t="s">
        <v>260</v>
      </c>
      <c r="B190" s="16">
        <v>3500</v>
      </c>
      <c r="C190" s="2" t="s">
        <v>67</v>
      </c>
      <c r="D190" s="2" t="s">
        <v>38</v>
      </c>
      <c r="E190" s="16">
        <v>123.489</v>
      </c>
      <c r="F190" s="16">
        <v>121.417</v>
      </c>
      <c r="G190" s="23">
        <v>395.1807</v>
      </c>
      <c r="H190" s="16">
        <v>3592.9769999999999</v>
      </c>
      <c r="I190" s="16">
        <v>1148.7660000000001</v>
      </c>
      <c r="J190" s="23" t="s">
        <v>19</v>
      </c>
      <c r="K190" s="23" t="s">
        <v>19</v>
      </c>
      <c r="L190" s="25">
        <v>-0.26</v>
      </c>
    </row>
    <row r="191" spans="1:12" x14ac:dyDescent="0.2">
      <c r="A191" s="23" t="s">
        <v>261</v>
      </c>
      <c r="B191" s="16">
        <v>3520</v>
      </c>
      <c r="C191" s="2" t="s">
        <v>67</v>
      </c>
      <c r="D191" s="2" t="s">
        <v>38</v>
      </c>
      <c r="E191" s="16">
        <v>123.479</v>
      </c>
      <c r="F191" s="16">
        <v>121.36799999999999</v>
      </c>
      <c r="G191" s="23">
        <v>394.33179999999999</v>
      </c>
      <c r="H191" s="16">
        <v>3573.0450000000001</v>
      </c>
      <c r="I191" s="16">
        <v>1147.1199999999999</v>
      </c>
      <c r="J191" s="23" t="s">
        <v>19</v>
      </c>
      <c r="K191" s="23" t="s">
        <v>19</v>
      </c>
      <c r="L191" s="25">
        <v>-0.23</v>
      </c>
    </row>
    <row r="192" spans="1:12" x14ac:dyDescent="0.2">
      <c r="A192" s="23" t="s">
        <v>262</v>
      </c>
      <c r="B192" s="16">
        <v>3540</v>
      </c>
      <c r="C192" s="2" t="s">
        <v>67</v>
      </c>
      <c r="D192" s="2" t="s">
        <v>38</v>
      </c>
      <c r="E192" s="16">
        <v>123.46899999999999</v>
      </c>
      <c r="F192" s="16">
        <v>121.325</v>
      </c>
      <c r="G192" s="23">
        <v>393.483</v>
      </c>
      <c r="H192" s="16">
        <v>3553.1370000000002</v>
      </c>
      <c r="I192" s="16">
        <v>1145.2090000000001</v>
      </c>
      <c r="J192" s="23" t="s">
        <v>19</v>
      </c>
      <c r="K192" s="23" t="s">
        <v>19</v>
      </c>
      <c r="L192" s="25">
        <v>-0.2</v>
      </c>
    </row>
    <row r="193" spans="1:15" x14ac:dyDescent="0.2">
      <c r="A193" s="23" t="s">
        <v>263</v>
      </c>
      <c r="B193" s="16">
        <v>3560</v>
      </c>
      <c r="C193" s="2" t="s">
        <v>67</v>
      </c>
      <c r="D193" s="2" t="s">
        <v>38</v>
      </c>
      <c r="E193" s="16">
        <v>123.46</v>
      </c>
      <c r="F193" s="16">
        <v>121.288</v>
      </c>
      <c r="G193" s="23">
        <v>392.63420000000002</v>
      </c>
      <c r="H193" s="16">
        <v>3533.2559999999999</v>
      </c>
      <c r="I193" s="16">
        <v>1143.0329999999999</v>
      </c>
      <c r="J193" s="23" t="s">
        <v>19</v>
      </c>
      <c r="K193" s="23" t="s">
        <v>19</v>
      </c>
      <c r="L193" s="25">
        <v>-0.17</v>
      </c>
    </row>
    <row r="194" spans="1:15" x14ac:dyDescent="0.2">
      <c r="A194" s="23" t="s">
        <v>264</v>
      </c>
      <c r="B194" s="16">
        <v>3580</v>
      </c>
      <c r="C194" s="2" t="s">
        <v>67</v>
      </c>
      <c r="D194" s="2" t="s">
        <v>38</v>
      </c>
      <c r="E194" s="16">
        <v>123.45</v>
      </c>
      <c r="F194" s="16">
        <v>121.25700000000001</v>
      </c>
      <c r="G194" s="23">
        <v>391.78539999999998</v>
      </c>
      <c r="H194" s="16">
        <v>3513.4050000000002</v>
      </c>
      <c r="I194" s="16">
        <v>1140.5909999999999</v>
      </c>
      <c r="J194" s="23" t="s">
        <v>19</v>
      </c>
      <c r="K194" s="23" t="s">
        <v>19</v>
      </c>
      <c r="L194" s="25">
        <v>-0.14000000000000001</v>
      </c>
    </row>
    <row r="195" spans="1:15" x14ac:dyDescent="0.2">
      <c r="A195" s="23" t="s">
        <v>265</v>
      </c>
      <c r="B195" s="16">
        <v>3600</v>
      </c>
      <c r="C195" s="2" t="s">
        <v>67</v>
      </c>
      <c r="D195" s="2" t="s">
        <v>38</v>
      </c>
      <c r="E195" s="16">
        <v>123.441</v>
      </c>
      <c r="F195" s="16">
        <v>121.23099999999999</v>
      </c>
      <c r="G195" s="23">
        <v>390.93650000000002</v>
      </c>
      <c r="H195" s="16">
        <v>3493.5889999999999</v>
      </c>
      <c r="I195" s="16">
        <v>1137.886</v>
      </c>
      <c r="J195" s="23" t="s">
        <v>19</v>
      </c>
      <c r="K195" s="23" t="s">
        <v>19</v>
      </c>
      <c r="L195" s="25">
        <v>-0.11</v>
      </c>
    </row>
    <row r="196" spans="1:15" x14ac:dyDescent="0.2">
      <c r="A196" s="23" t="s">
        <v>266</v>
      </c>
      <c r="B196" s="16">
        <v>3620</v>
      </c>
      <c r="C196" s="2" t="s">
        <v>67</v>
      </c>
      <c r="D196" s="2" t="s">
        <v>38</v>
      </c>
      <c r="E196" s="16">
        <v>123.432</v>
      </c>
      <c r="F196" s="16">
        <v>121.211</v>
      </c>
      <c r="G196" s="23">
        <v>390.08769999999998</v>
      </c>
      <c r="H196" s="16">
        <v>3473.8110000000001</v>
      </c>
      <c r="I196" s="16">
        <v>1134.9159999999999</v>
      </c>
      <c r="J196" s="23" t="s">
        <v>19</v>
      </c>
      <c r="K196" s="23" t="s">
        <v>19</v>
      </c>
      <c r="L196" s="25">
        <v>-0.09</v>
      </c>
    </row>
    <row r="197" spans="1:15" x14ac:dyDescent="0.2">
      <c r="A197" s="23" t="s">
        <v>267</v>
      </c>
      <c r="B197" s="16">
        <v>3640</v>
      </c>
      <c r="C197" s="2" t="s">
        <v>67</v>
      </c>
      <c r="D197" s="2" t="s">
        <v>38</v>
      </c>
      <c r="E197" s="16">
        <v>123.423</v>
      </c>
      <c r="F197" s="16">
        <v>121.196</v>
      </c>
      <c r="G197" s="23">
        <v>389.2389</v>
      </c>
      <c r="H197" s="16">
        <v>3454.0749999999998</v>
      </c>
      <c r="I197" s="16">
        <v>1131.683</v>
      </c>
      <c r="J197" s="23" t="s">
        <v>19</v>
      </c>
      <c r="K197" s="23" t="s">
        <v>19</v>
      </c>
      <c r="L197" s="25">
        <v>-0.06</v>
      </c>
    </row>
    <row r="198" spans="1:15" x14ac:dyDescent="0.2">
      <c r="A198" s="23" t="s">
        <v>268</v>
      </c>
      <c r="B198" s="16">
        <v>3660</v>
      </c>
      <c r="C198" s="2" t="s">
        <v>67</v>
      </c>
      <c r="D198" s="2" t="s">
        <v>38</v>
      </c>
      <c r="E198" s="16">
        <v>123.414</v>
      </c>
      <c r="F198" s="16">
        <v>121.188</v>
      </c>
      <c r="G198" s="23">
        <v>388.39010000000002</v>
      </c>
      <c r="H198" s="16">
        <v>3434.3829999999998</v>
      </c>
      <c r="I198" s="16">
        <v>1128.1869999999999</v>
      </c>
      <c r="J198" s="23" t="s">
        <v>19</v>
      </c>
      <c r="K198" s="23" t="s">
        <v>19</v>
      </c>
      <c r="L198" s="25">
        <v>-0.03</v>
      </c>
    </row>
    <row r="199" spans="1:15" x14ac:dyDescent="0.2">
      <c r="A199" s="23" t="s">
        <v>269</v>
      </c>
      <c r="B199" s="16">
        <v>3680</v>
      </c>
      <c r="C199" s="2" t="s">
        <v>67</v>
      </c>
      <c r="D199" s="2" t="s">
        <v>38</v>
      </c>
      <c r="E199" s="16">
        <v>123.40600000000001</v>
      </c>
      <c r="F199" s="16">
        <v>121.185</v>
      </c>
      <c r="G199" s="23">
        <v>387.5412</v>
      </c>
      <c r="H199" s="16">
        <v>3414.739</v>
      </c>
      <c r="I199" s="16">
        <v>1124.4290000000001</v>
      </c>
      <c r="J199" s="23" t="s">
        <v>19</v>
      </c>
      <c r="K199" s="23" t="s">
        <v>19</v>
      </c>
      <c r="L199" s="25">
        <v>0</v>
      </c>
    </row>
    <row r="200" spans="1:15" x14ac:dyDescent="0.2">
      <c r="A200" s="23" t="s">
        <v>270</v>
      </c>
      <c r="B200" s="16">
        <v>3700</v>
      </c>
      <c r="C200" s="2" t="s">
        <v>67</v>
      </c>
      <c r="D200" s="2" t="s">
        <v>38</v>
      </c>
      <c r="E200" s="16">
        <v>123.39700000000001</v>
      </c>
      <c r="F200" s="16">
        <v>121.188</v>
      </c>
      <c r="G200" s="23">
        <v>386.69240000000002</v>
      </c>
      <c r="H200" s="16">
        <v>3395.1469999999999</v>
      </c>
      <c r="I200" s="16">
        <v>1120.4090000000001</v>
      </c>
      <c r="J200" s="23" t="s">
        <v>19</v>
      </c>
      <c r="K200" s="23" t="s">
        <v>19</v>
      </c>
      <c r="L200" s="25">
        <v>0.03</v>
      </c>
    </row>
    <row r="201" spans="1:15" x14ac:dyDescent="0.2">
      <c r="A201" s="23" t="s">
        <v>271</v>
      </c>
      <c r="B201" s="16">
        <v>3720</v>
      </c>
      <c r="C201" s="2" t="s">
        <v>67</v>
      </c>
      <c r="D201" s="2" t="s">
        <v>38</v>
      </c>
      <c r="E201" s="16">
        <v>123.389</v>
      </c>
      <c r="F201" s="16">
        <v>121.196</v>
      </c>
      <c r="G201" s="23">
        <v>385.84359999999998</v>
      </c>
      <c r="H201" s="16">
        <v>3375.6109999999999</v>
      </c>
      <c r="I201" s="16">
        <v>1116.1279999999999</v>
      </c>
      <c r="J201" s="23" t="s">
        <v>19</v>
      </c>
      <c r="K201" s="23" t="s">
        <v>19</v>
      </c>
      <c r="L201" s="25">
        <v>0.06</v>
      </c>
    </row>
    <row r="202" spans="1:15" x14ac:dyDescent="0.2">
      <c r="A202" s="23" t="s">
        <v>272</v>
      </c>
      <c r="B202" s="16">
        <v>3740</v>
      </c>
      <c r="C202" s="2" t="s">
        <v>67</v>
      </c>
      <c r="D202" s="2" t="s">
        <v>38</v>
      </c>
      <c r="E202" s="16">
        <v>123.381</v>
      </c>
      <c r="F202" s="16">
        <v>121.211</v>
      </c>
      <c r="G202" s="23">
        <v>384.9948</v>
      </c>
      <c r="H202" s="16">
        <v>3356.1329999999998</v>
      </c>
      <c r="I202" s="16">
        <v>1111.588</v>
      </c>
      <c r="J202" s="23" t="s">
        <v>19</v>
      </c>
      <c r="K202" s="23" t="s">
        <v>19</v>
      </c>
      <c r="L202" s="25">
        <v>0.09</v>
      </c>
    </row>
    <row r="203" spans="1:15" x14ac:dyDescent="0.2">
      <c r="A203" s="23" t="s">
        <v>273</v>
      </c>
      <c r="B203" s="16">
        <v>3760</v>
      </c>
      <c r="C203" s="2" t="s">
        <v>67</v>
      </c>
      <c r="D203" s="2" t="s">
        <v>38</v>
      </c>
      <c r="E203" s="16">
        <v>123.373</v>
      </c>
      <c r="F203" s="16">
        <v>121.23099999999999</v>
      </c>
      <c r="G203" s="23">
        <v>384.14589999999998</v>
      </c>
      <c r="H203" s="16">
        <v>3336.7179999999998</v>
      </c>
      <c r="I203" s="16">
        <v>1106.788</v>
      </c>
      <c r="J203" s="23" t="s">
        <v>19</v>
      </c>
      <c r="K203" s="23" t="s">
        <v>19</v>
      </c>
      <c r="L203" s="25">
        <v>0.11</v>
      </c>
    </row>
    <row r="204" spans="1:15" x14ac:dyDescent="0.2">
      <c r="A204" s="23" t="s">
        <v>274</v>
      </c>
      <c r="B204" s="16">
        <v>3780</v>
      </c>
      <c r="C204" s="2" t="s">
        <v>67</v>
      </c>
      <c r="D204" s="2" t="s">
        <v>38</v>
      </c>
      <c r="E204" s="16">
        <v>123.36499999999999</v>
      </c>
      <c r="F204" s="16">
        <v>121.256</v>
      </c>
      <c r="G204" s="23">
        <v>383.2971</v>
      </c>
      <c r="H204" s="16">
        <v>3317.3679999999999</v>
      </c>
      <c r="I204" s="16">
        <v>1101.729</v>
      </c>
      <c r="J204" s="23" t="s">
        <v>19</v>
      </c>
      <c r="K204" s="23" t="s">
        <v>19</v>
      </c>
      <c r="L204" s="25">
        <v>0.14000000000000001</v>
      </c>
    </row>
    <row r="205" spans="1:15" x14ac:dyDescent="0.2">
      <c r="A205" s="23" t="s">
        <v>275</v>
      </c>
      <c r="B205" s="16">
        <v>3800</v>
      </c>
      <c r="C205" s="2" t="s">
        <v>67</v>
      </c>
      <c r="D205" s="2" t="s">
        <v>38</v>
      </c>
      <c r="E205" s="16">
        <v>123.358</v>
      </c>
      <c r="F205" s="16">
        <v>121.288</v>
      </c>
      <c r="G205" s="23">
        <v>382.44830000000002</v>
      </c>
      <c r="H205" s="16">
        <v>3298.0880000000002</v>
      </c>
      <c r="I205" s="16">
        <v>1096.413</v>
      </c>
      <c r="J205" s="23" t="s">
        <v>19</v>
      </c>
      <c r="K205" s="23" t="s">
        <v>19</v>
      </c>
      <c r="L205" s="25">
        <v>0.17</v>
      </c>
    </row>
    <row r="206" spans="1:15" x14ac:dyDescent="0.2">
      <c r="A206" s="23" t="s">
        <v>276</v>
      </c>
      <c r="B206" s="16">
        <v>3820</v>
      </c>
      <c r="C206" s="2" t="s">
        <v>67</v>
      </c>
      <c r="D206" s="2" t="s">
        <v>38</v>
      </c>
      <c r="E206" s="16">
        <v>123.35</v>
      </c>
      <c r="F206" s="16">
        <v>121.325</v>
      </c>
      <c r="G206" s="23">
        <v>381.5994</v>
      </c>
      <c r="H206" s="16">
        <v>3278.88</v>
      </c>
      <c r="I206" s="16">
        <v>1090.8409999999999</v>
      </c>
      <c r="J206" s="23" t="s">
        <v>19</v>
      </c>
      <c r="K206" s="23" t="s">
        <v>19</v>
      </c>
      <c r="L206" s="25">
        <v>0.2</v>
      </c>
    </row>
    <row r="207" spans="1:15" x14ac:dyDescent="0.2">
      <c r="A207" s="23" t="s">
        <v>277</v>
      </c>
      <c r="B207" s="16">
        <v>3826.99</v>
      </c>
      <c r="C207" s="2" t="s">
        <v>67</v>
      </c>
      <c r="D207" s="2" t="s">
        <v>38</v>
      </c>
      <c r="E207" s="16">
        <v>123.348</v>
      </c>
      <c r="F207" s="16">
        <v>121.339</v>
      </c>
      <c r="G207" s="23">
        <v>381.30279999999999</v>
      </c>
      <c r="H207" s="16">
        <v>3272.1849999999999</v>
      </c>
      <c r="I207" s="16">
        <v>1088.8330000000001</v>
      </c>
      <c r="J207" s="23" t="s">
        <v>19</v>
      </c>
      <c r="K207" s="23" t="s">
        <v>19</v>
      </c>
      <c r="L207" s="25">
        <v>0.21</v>
      </c>
    </row>
    <row r="208" spans="1:15" x14ac:dyDescent="0.2">
      <c r="A208" s="23" t="s">
        <v>278</v>
      </c>
      <c r="B208" s="16">
        <v>3840</v>
      </c>
      <c r="C208" s="2" t="s">
        <v>68</v>
      </c>
      <c r="D208" s="2" t="s">
        <v>38</v>
      </c>
      <c r="E208" s="16">
        <v>123.343</v>
      </c>
      <c r="F208" s="16">
        <v>121.36799999999999</v>
      </c>
      <c r="G208" s="23">
        <v>380.75779999999997</v>
      </c>
      <c r="H208" s="16">
        <v>3259.748</v>
      </c>
      <c r="I208" s="16">
        <v>1085.0129999999999</v>
      </c>
      <c r="J208" s="23" t="s">
        <v>19</v>
      </c>
      <c r="K208" s="23" t="s">
        <v>19</v>
      </c>
      <c r="L208" s="25">
        <v>0.23</v>
      </c>
      <c r="N208" s="30" t="e" cm="1">
        <f t="array" ref="N208">[1]!ClothoidS_Gt(#REF!,#REF!,#REF!,#REF!,#REF!,#REF!,#REF!,#REF!,#REF!,B208)</f>
        <v>#VALUE!</v>
      </c>
      <c r="O208" s="27" t="e">
        <f>+N208-G208+100</f>
        <v>#VALUE!</v>
      </c>
    </row>
    <row r="209" spans="1:15" x14ac:dyDescent="0.2">
      <c r="A209" s="23" t="s">
        <v>279</v>
      </c>
      <c r="B209" s="16">
        <v>3860</v>
      </c>
      <c r="C209" s="2" t="s">
        <v>68</v>
      </c>
      <c r="D209" s="2" t="s">
        <v>38</v>
      </c>
      <c r="E209" s="16">
        <v>123.336</v>
      </c>
      <c r="F209" s="16">
        <v>121.416</v>
      </c>
      <c r="G209" s="23">
        <v>379.94810000000001</v>
      </c>
      <c r="H209" s="16">
        <v>3240.694</v>
      </c>
      <c r="I209" s="16">
        <v>1078.9369999999999</v>
      </c>
      <c r="J209" s="23" t="s">
        <v>19</v>
      </c>
      <c r="K209" s="23" t="s">
        <v>19</v>
      </c>
      <c r="L209" s="25">
        <v>0.26</v>
      </c>
      <c r="N209" s="30" t="e" cm="1">
        <f t="array" ref="N209">[1]!ClothoidS_Gt(#REF!,#REF!,#REF!,#REF!,#REF!,#REF!,#REF!,#REF!,#REF!,B209)</f>
        <v>#VALUE!</v>
      </c>
      <c r="O209" s="27" t="e">
        <f t="shared" ref="O209:O264" si="0">+N209-G209+100</f>
        <v>#VALUE!</v>
      </c>
    </row>
    <row r="210" spans="1:15" x14ac:dyDescent="0.2">
      <c r="A210" s="23" t="s">
        <v>280</v>
      </c>
      <c r="B210" s="16">
        <v>3880</v>
      </c>
      <c r="C210" s="2" t="s">
        <v>68</v>
      </c>
      <c r="D210" s="2" t="s">
        <v>38</v>
      </c>
      <c r="E210" s="16">
        <v>123.32899999999999</v>
      </c>
      <c r="F210" s="16">
        <v>121.471</v>
      </c>
      <c r="G210" s="23">
        <v>379.17230000000001</v>
      </c>
      <c r="H210" s="16">
        <v>3221.7159999999999</v>
      </c>
      <c r="I210" s="16">
        <v>1072.625</v>
      </c>
      <c r="J210" s="23" t="s">
        <v>19</v>
      </c>
      <c r="K210" s="23" t="s">
        <v>19</v>
      </c>
      <c r="L210" s="25">
        <v>0.28999999999999998</v>
      </c>
      <c r="N210" s="30" t="e" cm="1">
        <f t="array" ref="N210">[1]!ClothoidS_Gt(#REF!,#REF!,#REF!,#REF!,#REF!,#REF!,#REF!,#REF!,#REF!,B210)</f>
        <v>#VALUE!</v>
      </c>
      <c r="O210" s="27" t="e">
        <f t="shared" si="0"/>
        <v>#VALUE!</v>
      </c>
    </row>
    <row r="211" spans="1:15" x14ac:dyDescent="0.2">
      <c r="A211" s="23" t="s">
        <v>281</v>
      </c>
      <c r="B211" s="16">
        <v>3900</v>
      </c>
      <c r="C211" s="2" t="s">
        <v>68</v>
      </c>
      <c r="D211" s="2" t="s">
        <v>38</v>
      </c>
      <c r="E211" s="16">
        <v>123.322</v>
      </c>
      <c r="F211" s="16">
        <v>121.53100000000001</v>
      </c>
      <c r="G211" s="23">
        <v>378.43060000000003</v>
      </c>
      <c r="H211" s="16">
        <v>3202.8150000000001</v>
      </c>
      <c r="I211" s="16">
        <v>1066.087</v>
      </c>
      <c r="J211" s="23" t="s">
        <v>19</v>
      </c>
      <c r="K211" s="23" t="s">
        <v>19</v>
      </c>
      <c r="L211" s="25">
        <v>0.31</v>
      </c>
      <c r="N211" s="30" t="e" cm="1">
        <f t="array" ref="N211">[1]!ClothoidS_Gt(#REF!,#REF!,#REF!,#REF!,#REF!,#REF!,#REF!,#REF!,#REF!,B211)</f>
        <v>#VALUE!</v>
      </c>
      <c r="O211" s="27" t="e">
        <f t="shared" si="0"/>
        <v>#VALUE!</v>
      </c>
    </row>
    <row r="212" spans="1:15" x14ac:dyDescent="0.2">
      <c r="A212" s="23" t="s">
        <v>282</v>
      </c>
      <c r="B212" s="16">
        <v>3920</v>
      </c>
      <c r="C212" s="2" t="s">
        <v>68</v>
      </c>
      <c r="D212" s="2" t="s">
        <v>38</v>
      </c>
      <c r="E212" s="16">
        <v>123.316</v>
      </c>
      <c r="F212" s="16">
        <v>121.596</v>
      </c>
      <c r="G212" s="23">
        <v>377.72280000000001</v>
      </c>
      <c r="H212" s="16">
        <v>3183.99</v>
      </c>
      <c r="I212" s="16">
        <v>1059.3340000000001</v>
      </c>
      <c r="J212" s="23" t="s">
        <v>19</v>
      </c>
      <c r="K212" s="23" t="s">
        <v>19</v>
      </c>
      <c r="L212" s="25">
        <v>0.34</v>
      </c>
      <c r="N212" s="30" t="e" cm="1">
        <f t="array" ref="N212">[1]!ClothoidS_Gt(#REF!,#REF!,#REF!,#REF!,#REF!,#REF!,#REF!,#REF!,#REF!,B212)</f>
        <v>#VALUE!</v>
      </c>
      <c r="O212" s="27" t="e">
        <f t="shared" si="0"/>
        <v>#VALUE!</v>
      </c>
    </row>
    <row r="213" spans="1:15" x14ac:dyDescent="0.2">
      <c r="A213" s="23" t="s">
        <v>283</v>
      </c>
      <c r="B213" s="16">
        <v>3940</v>
      </c>
      <c r="C213" s="2" t="s">
        <v>68</v>
      </c>
      <c r="D213" s="2" t="s">
        <v>38</v>
      </c>
      <c r="E213" s="16">
        <v>123.309</v>
      </c>
      <c r="F213" s="16">
        <v>121.66800000000001</v>
      </c>
      <c r="G213" s="23">
        <v>377.04910000000001</v>
      </c>
      <c r="H213" s="16">
        <v>3165.239</v>
      </c>
      <c r="I213" s="16">
        <v>1052.377</v>
      </c>
      <c r="J213" s="23" t="s">
        <v>19</v>
      </c>
      <c r="K213" s="23" t="s">
        <v>19</v>
      </c>
      <c r="L213" s="25">
        <v>0.37</v>
      </c>
      <c r="N213" s="30" t="e" cm="1">
        <f t="array" ref="N213">[1]!ClothoidS_Gt(#REF!,#REF!,#REF!,#REF!,#REF!,#REF!,#REF!,#REF!,#REF!,B213)</f>
        <v>#VALUE!</v>
      </c>
      <c r="O213" s="27" t="e">
        <f t="shared" si="0"/>
        <v>#VALUE!</v>
      </c>
    </row>
    <row r="214" spans="1:15" x14ac:dyDescent="0.2">
      <c r="A214" s="23" t="s">
        <v>284</v>
      </c>
      <c r="B214" s="16">
        <v>3960</v>
      </c>
      <c r="C214" s="2" t="s">
        <v>68</v>
      </c>
      <c r="D214" s="2" t="s">
        <v>38</v>
      </c>
      <c r="E214" s="16">
        <v>123.303</v>
      </c>
      <c r="F214" s="16">
        <v>121.745</v>
      </c>
      <c r="G214" s="23">
        <v>376.40929999999997</v>
      </c>
      <c r="H214" s="16">
        <v>3146.56</v>
      </c>
      <c r="I214" s="16">
        <v>1045.2270000000001</v>
      </c>
      <c r="J214" s="23" t="s">
        <v>19</v>
      </c>
      <c r="K214" s="23" t="s">
        <v>19</v>
      </c>
      <c r="L214" s="25">
        <v>0.4</v>
      </c>
      <c r="N214" s="30" t="e" cm="1">
        <f t="array" ref="N214">[1]!ClothoidS_Gt(#REF!,#REF!,#REF!,#REF!,#REF!,#REF!,#REF!,#REF!,#REF!,B214)</f>
        <v>#VALUE!</v>
      </c>
      <c r="O214" s="27" t="e">
        <f t="shared" si="0"/>
        <v>#VALUE!</v>
      </c>
    </row>
    <row r="215" spans="1:15" x14ac:dyDescent="0.2">
      <c r="A215" s="23" t="s">
        <v>285</v>
      </c>
      <c r="B215" s="16">
        <v>3980</v>
      </c>
      <c r="C215" s="2" t="s">
        <v>68</v>
      </c>
      <c r="D215" s="2" t="s">
        <v>38</v>
      </c>
      <c r="E215" s="16">
        <v>123.297</v>
      </c>
      <c r="F215" s="16">
        <v>121.828</v>
      </c>
      <c r="G215" s="23">
        <v>375.80349999999999</v>
      </c>
      <c r="H215" s="16">
        <v>3127.953</v>
      </c>
      <c r="I215" s="16">
        <v>1037.895</v>
      </c>
      <c r="J215" s="23" t="s">
        <v>19</v>
      </c>
      <c r="K215" s="23" t="s">
        <v>19</v>
      </c>
      <c r="L215" s="25">
        <v>0.43</v>
      </c>
      <c r="N215" s="30" t="e" cm="1">
        <f t="array" ref="N215">[1]!ClothoidS_Gt(#REF!,#REF!,#REF!,#REF!,#REF!,#REF!,#REF!,#REF!,#REF!,B215)</f>
        <v>#VALUE!</v>
      </c>
      <c r="O215" s="27" t="e">
        <f t="shared" si="0"/>
        <v>#VALUE!</v>
      </c>
    </row>
    <row r="216" spans="1:15" x14ac:dyDescent="0.2">
      <c r="A216" s="23" t="s">
        <v>286</v>
      </c>
      <c r="B216" s="16">
        <v>4000</v>
      </c>
      <c r="C216" s="2" t="s">
        <v>68</v>
      </c>
      <c r="D216" s="2" t="s">
        <v>38</v>
      </c>
      <c r="E216" s="16">
        <v>123.291</v>
      </c>
      <c r="F216" s="16">
        <v>121.916</v>
      </c>
      <c r="G216" s="23">
        <v>375.23160000000001</v>
      </c>
      <c r="H216" s="16">
        <v>3109.4140000000002</v>
      </c>
      <c r="I216" s="16">
        <v>1030.3910000000001</v>
      </c>
      <c r="J216" s="23" t="s">
        <v>19</v>
      </c>
      <c r="K216" s="23" t="s">
        <v>19</v>
      </c>
      <c r="L216" s="25">
        <v>0.46</v>
      </c>
      <c r="N216" s="30" t="e" cm="1">
        <f t="array" ref="N216">[1]!ClothoidS_Gt(#REF!,#REF!,#REF!,#REF!,#REF!,#REF!,#REF!,#REF!,#REF!,B216)</f>
        <v>#VALUE!</v>
      </c>
      <c r="O216" s="27" t="e">
        <f t="shared" si="0"/>
        <v>#VALUE!</v>
      </c>
    </row>
    <row r="217" spans="1:15" x14ac:dyDescent="0.2">
      <c r="A217" s="23" t="s">
        <v>287</v>
      </c>
      <c r="B217" s="16">
        <v>4020</v>
      </c>
      <c r="C217" s="2" t="s">
        <v>68</v>
      </c>
      <c r="D217" s="2" t="s">
        <v>42</v>
      </c>
      <c r="E217" s="16">
        <v>123.285</v>
      </c>
      <c r="F217" s="16">
        <v>122.008</v>
      </c>
      <c r="G217" s="23">
        <v>374.69380000000001</v>
      </c>
      <c r="H217" s="16">
        <v>3090.9409999999998</v>
      </c>
      <c r="I217" s="16">
        <v>1022.726</v>
      </c>
      <c r="J217" s="23" t="s">
        <v>19</v>
      </c>
      <c r="K217" s="23" t="s">
        <v>19</v>
      </c>
      <c r="L217" s="25">
        <v>0.46</v>
      </c>
      <c r="N217" s="30" t="e" cm="1">
        <f t="array" ref="N217">[1]!ClothoidS_Gt(#REF!,#REF!,#REF!,#REF!,#REF!,#REF!,#REF!,#REF!,#REF!,B217)</f>
        <v>#VALUE!</v>
      </c>
      <c r="O217" s="27" t="e">
        <f t="shared" si="0"/>
        <v>#VALUE!</v>
      </c>
    </row>
    <row r="218" spans="1:15" x14ac:dyDescent="0.2">
      <c r="A218" s="23" t="s">
        <v>288</v>
      </c>
      <c r="B218" s="16">
        <v>4040</v>
      </c>
      <c r="C218" s="2" t="s">
        <v>68</v>
      </c>
      <c r="D218" s="2" t="s">
        <v>42</v>
      </c>
      <c r="E218" s="16">
        <v>123.279</v>
      </c>
      <c r="F218" s="16">
        <v>122.1</v>
      </c>
      <c r="G218" s="23">
        <v>374.19</v>
      </c>
      <c r="H218" s="16">
        <v>3072.5320000000002</v>
      </c>
      <c r="I218" s="16">
        <v>1014.91</v>
      </c>
      <c r="J218" s="23" t="s">
        <v>19</v>
      </c>
      <c r="K218" s="23" t="s">
        <v>19</v>
      </c>
      <c r="L218" s="25">
        <v>0.46</v>
      </c>
      <c r="N218" s="30" t="e" cm="1">
        <f t="array" ref="N218">[1]!ClothoidS_Gt(#REF!,#REF!,#REF!,#REF!,#REF!,#REF!,#REF!,#REF!,#REF!,B218)</f>
        <v>#VALUE!</v>
      </c>
      <c r="O218" s="27" t="e">
        <f t="shared" si="0"/>
        <v>#VALUE!</v>
      </c>
    </row>
    <row r="219" spans="1:15" x14ac:dyDescent="0.2">
      <c r="A219" s="23" t="s">
        <v>289</v>
      </c>
      <c r="B219" s="16">
        <v>4060</v>
      </c>
      <c r="C219" s="2" t="s">
        <v>68</v>
      </c>
      <c r="D219" s="2" t="s">
        <v>42</v>
      </c>
      <c r="E219" s="16">
        <v>123.273</v>
      </c>
      <c r="F219" s="16">
        <v>122.191</v>
      </c>
      <c r="G219" s="23">
        <v>373.7201</v>
      </c>
      <c r="H219" s="16">
        <v>3054.183</v>
      </c>
      <c r="I219" s="16">
        <v>1006.953</v>
      </c>
      <c r="J219" s="23" t="s">
        <v>19</v>
      </c>
      <c r="K219" s="23" t="s">
        <v>19</v>
      </c>
      <c r="L219" s="25">
        <v>0.46</v>
      </c>
      <c r="N219" s="30" t="e" cm="1">
        <f t="array" ref="N219">[1]!ClothoidS_Gt(#REF!,#REF!,#REF!,#REF!,#REF!,#REF!,#REF!,#REF!,#REF!,B219)</f>
        <v>#VALUE!</v>
      </c>
      <c r="O219" s="27" t="e">
        <f t="shared" si="0"/>
        <v>#VALUE!</v>
      </c>
    </row>
    <row r="220" spans="1:15" x14ac:dyDescent="0.2">
      <c r="A220" s="23" t="s">
        <v>290</v>
      </c>
      <c r="B220" s="16">
        <v>4080</v>
      </c>
      <c r="C220" s="2" t="s">
        <v>68</v>
      </c>
      <c r="D220" s="2" t="s">
        <v>42</v>
      </c>
      <c r="E220" s="16">
        <v>123.267</v>
      </c>
      <c r="F220" s="16">
        <v>122.283</v>
      </c>
      <c r="G220" s="23">
        <v>373.2842</v>
      </c>
      <c r="H220" s="16">
        <v>3035.8910000000001</v>
      </c>
      <c r="I220" s="16">
        <v>998.86599999999999</v>
      </c>
      <c r="J220" s="23" t="s">
        <v>19</v>
      </c>
      <c r="K220" s="23" t="s">
        <v>19</v>
      </c>
      <c r="L220" s="25">
        <v>0.46</v>
      </c>
      <c r="N220" s="30" t="e" cm="1">
        <f t="array" ref="N220">[1]!ClothoidS_Gt(#REF!,#REF!,#REF!,#REF!,#REF!,#REF!,#REF!,#REF!,#REF!,B220)</f>
        <v>#VALUE!</v>
      </c>
      <c r="O220" s="27" t="e">
        <f t="shared" si="0"/>
        <v>#VALUE!</v>
      </c>
    </row>
    <row r="221" spans="1:15" x14ac:dyDescent="0.2">
      <c r="A221" s="23" t="s">
        <v>291</v>
      </c>
      <c r="B221" s="16">
        <v>4100</v>
      </c>
      <c r="C221" s="2" t="s">
        <v>68</v>
      </c>
      <c r="D221" s="2" t="s">
        <v>42</v>
      </c>
      <c r="E221" s="16">
        <v>123.262</v>
      </c>
      <c r="F221" s="16">
        <v>122.375</v>
      </c>
      <c r="G221" s="23">
        <v>372.88240000000002</v>
      </c>
      <c r="H221" s="16">
        <v>3017.652</v>
      </c>
      <c r="I221" s="16">
        <v>990.65899999999999</v>
      </c>
      <c r="J221" s="23" t="s">
        <v>19</v>
      </c>
      <c r="K221" s="23" t="s">
        <v>19</v>
      </c>
      <c r="L221" s="25">
        <v>0.46</v>
      </c>
      <c r="N221" s="30" t="e" cm="1">
        <f t="array" ref="N221">[1]!ClothoidS_Gt(#REF!,#REF!,#REF!,#REF!,#REF!,#REF!,#REF!,#REF!,#REF!,B221)</f>
        <v>#VALUE!</v>
      </c>
      <c r="O221" s="27" t="e">
        <f t="shared" si="0"/>
        <v>#VALUE!</v>
      </c>
    </row>
    <row r="222" spans="1:15" x14ac:dyDescent="0.2">
      <c r="A222" s="23" t="s">
        <v>292</v>
      </c>
      <c r="B222" s="16">
        <v>4120</v>
      </c>
      <c r="C222" s="2" t="s">
        <v>68</v>
      </c>
      <c r="D222" s="2" t="s">
        <v>42</v>
      </c>
      <c r="E222" s="16">
        <v>123.25700000000001</v>
      </c>
      <c r="F222" s="16">
        <v>122.46599999999999</v>
      </c>
      <c r="G222" s="23">
        <v>372.5145</v>
      </c>
      <c r="H222" s="16">
        <v>2999.4639999999999</v>
      </c>
      <c r="I222" s="16">
        <v>982.34100000000001</v>
      </c>
      <c r="J222" s="23" t="s">
        <v>19</v>
      </c>
      <c r="K222" s="23" t="s">
        <v>19</v>
      </c>
      <c r="L222" s="25">
        <v>0.46</v>
      </c>
      <c r="N222" s="30" t="e" cm="1">
        <f t="array" ref="N222">[1]!ClothoidS_Gt(#REF!,#REF!,#REF!,#REF!,#REF!,#REF!,#REF!,#REF!,#REF!,B222)</f>
        <v>#VALUE!</v>
      </c>
      <c r="O222" s="27" t="e">
        <f t="shared" si="0"/>
        <v>#VALUE!</v>
      </c>
    </row>
    <row r="223" spans="1:15" x14ac:dyDescent="0.2">
      <c r="A223" s="23" t="s">
        <v>293</v>
      </c>
      <c r="B223" s="16">
        <v>4140</v>
      </c>
      <c r="C223" s="2" t="s">
        <v>68</v>
      </c>
      <c r="D223" s="2" t="s">
        <v>42</v>
      </c>
      <c r="E223" s="16">
        <v>123.249</v>
      </c>
      <c r="F223" s="16">
        <v>122.55800000000001</v>
      </c>
      <c r="G223" s="23">
        <v>372.18049999999999</v>
      </c>
      <c r="H223" s="16">
        <v>2981.3220000000001</v>
      </c>
      <c r="I223" s="16">
        <v>973.92399999999998</v>
      </c>
      <c r="J223" s="23" t="s">
        <v>19</v>
      </c>
      <c r="K223" s="23" t="s">
        <v>19</v>
      </c>
      <c r="L223" s="25">
        <v>0.46</v>
      </c>
      <c r="N223" s="30" t="e" cm="1">
        <f t="array" ref="N223">[1]!ClothoidS_Gt(#REF!,#REF!,#REF!,#REF!,#REF!,#REF!,#REF!,#REF!,#REF!,B223)</f>
        <v>#VALUE!</v>
      </c>
      <c r="O223" s="27" t="e">
        <f t="shared" si="0"/>
        <v>#VALUE!</v>
      </c>
    </row>
    <row r="224" spans="1:15" x14ac:dyDescent="0.2">
      <c r="A224" s="23" t="s">
        <v>294</v>
      </c>
      <c r="B224" s="16">
        <v>4160</v>
      </c>
      <c r="C224" s="2" t="s">
        <v>68</v>
      </c>
      <c r="D224" s="2" t="s">
        <v>42</v>
      </c>
      <c r="E224" s="16">
        <v>123.242</v>
      </c>
      <c r="F224" s="16">
        <v>122.65</v>
      </c>
      <c r="G224" s="23">
        <v>371.88060000000002</v>
      </c>
      <c r="H224" s="16">
        <v>2963.221</v>
      </c>
      <c r="I224" s="16">
        <v>965.41600000000005</v>
      </c>
      <c r="J224" s="23" t="s">
        <v>19</v>
      </c>
      <c r="K224" s="23" t="s">
        <v>19</v>
      </c>
      <c r="L224" s="25">
        <v>0.46</v>
      </c>
      <c r="N224" s="30" t="e" cm="1">
        <f t="array" ref="N224">[1]!ClothoidS_Gt(#REF!,#REF!,#REF!,#REF!,#REF!,#REF!,#REF!,#REF!,#REF!,B224)</f>
        <v>#VALUE!</v>
      </c>
      <c r="O224" s="27" t="e">
        <f t="shared" si="0"/>
        <v>#VALUE!</v>
      </c>
    </row>
    <row r="225" spans="1:15" x14ac:dyDescent="0.2">
      <c r="A225" s="23" t="s">
        <v>295</v>
      </c>
      <c r="B225" s="16">
        <v>4180</v>
      </c>
      <c r="C225" s="2" t="s">
        <v>68</v>
      </c>
      <c r="D225" s="2" t="s">
        <v>42</v>
      </c>
      <c r="E225" s="16">
        <v>123.23399999999999</v>
      </c>
      <c r="F225" s="16">
        <v>122.742</v>
      </c>
      <c r="G225" s="23">
        <v>371.61470000000003</v>
      </c>
      <c r="H225" s="16">
        <v>2945.1590000000001</v>
      </c>
      <c r="I225" s="16">
        <v>956.82799999999997</v>
      </c>
      <c r="J225" s="23" t="s">
        <v>19</v>
      </c>
      <c r="K225" s="23" t="s">
        <v>19</v>
      </c>
      <c r="L225" s="25">
        <v>0.46</v>
      </c>
      <c r="N225" s="30" t="e" cm="1">
        <f t="array" ref="N225">[1]!ClothoidS_Gt(#REF!,#REF!,#REF!,#REF!,#REF!,#REF!,#REF!,#REF!,#REF!,B225)</f>
        <v>#VALUE!</v>
      </c>
      <c r="O225" s="27" t="e">
        <f t="shared" si="0"/>
        <v>#VALUE!</v>
      </c>
    </row>
    <row r="226" spans="1:15" x14ac:dyDescent="0.2">
      <c r="A226" s="23" t="s">
        <v>296</v>
      </c>
      <c r="B226" s="16">
        <v>4200</v>
      </c>
      <c r="C226" s="2" t="s">
        <v>68</v>
      </c>
      <c r="D226" s="2" t="s">
        <v>42</v>
      </c>
      <c r="E226" s="16">
        <v>123.226</v>
      </c>
      <c r="F226" s="16">
        <v>122.833</v>
      </c>
      <c r="G226" s="23">
        <v>371.3827</v>
      </c>
      <c r="H226" s="16">
        <v>2927.1309999999999</v>
      </c>
      <c r="I226" s="16">
        <v>948.17</v>
      </c>
      <c r="J226" s="23" t="s">
        <v>19</v>
      </c>
      <c r="K226" s="23" t="s">
        <v>19</v>
      </c>
      <c r="L226" s="25">
        <v>0.46</v>
      </c>
      <c r="N226" s="30" t="e" cm="1">
        <f t="array" ref="N226">[1]!ClothoidS_Gt(#REF!,#REF!,#REF!,#REF!,#REF!,#REF!,#REF!,#REF!,#REF!,B226)</f>
        <v>#VALUE!</v>
      </c>
      <c r="O226" s="27" t="e">
        <f t="shared" si="0"/>
        <v>#VALUE!</v>
      </c>
    </row>
    <row r="227" spans="1:15" x14ac:dyDescent="0.2">
      <c r="A227" s="23" t="s">
        <v>297</v>
      </c>
      <c r="B227" s="16">
        <v>4220</v>
      </c>
      <c r="C227" s="2" t="s">
        <v>68</v>
      </c>
      <c r="D227" s="2" t="s">
        <v>42</v>
      </c>
      <c r="E227" s="16">
        <v>123.21899999999999</v>
      </c>
      <c r="F227" s="16">
        <v>122.925</v>
      </c>
      <c r="G227" s="23">
        <v>371.1848</v>
      </c>
      <c r="H227" s="16">
        <v>2909.1309999999999</v>
      </c>
      <c r="I227" s="16">
        <v>939.45</v>
      </c>
      <c r="J227" s="23" t="s">
        <v>19</v>
      </c>
      <c r="K227" s="23" t="s">
        <v>19</v>
      </c>
      <c r="L227" s="25">
        <v>0.46</v>
      </c>
      <c r="N227" s="30" t="e" cm="1">
        <f t="array" ref="N227">[1]!ClothoidS_Gt(#REF!,#REF!,#REF!,#REF!,#REF!,#REF!,#REF!,#REF!,#REF!,B227)</f>
        <v>#VALUE!</v>
      </c>
      <c r="O227" s="27" t="e">
        <f t="shared" si="0"/>
        <v>#VALUE!</v>
      </c>
    </row>
    <row r="228" spans="1:15" x14ac:dyDescent="0.2">
      <c r="A228" s="23" t="s">
        <v>298</v>
      </c>
      <c r="B228" s="16">
        <v>4240</v>
      </c>
      <c r="C228" s="2" t="s">
        <v>68</v>
      </c>
      <c r="D228" s="2" t="s">
        <v>42</v>
      </c>
      <c r="E228" s="16">
        <v>123.211</v>
      </c>
      <c r="F228" s="16">
        <v>123.017</v>
      </c>
      <c r="G228" s="23">
        <v>371.02080000000001</v>
      </c>
      <c r="H228" s="16">
        <v>2891.1570000000002</v>
      </c>
      <c r="I228" s="16">
        <v>930.68</v>
      </c>
      <c r="J228" s="23" t="s">
        <v>19</v>
      </c>
      <c r="K228" s="23" t="s">
        <v>19</v>
      </c>
      <c r="L228" s="25">
        <v>0.46</v>
      </c>
      <c r="N228" s="30" t="e" cm="1">
        <f t="array" ref="N228">[1]!ClothoidS_Gt(#REF!,#REF!,#REF!,#REF!,#REF!,#REF!,#REF!,#REF!,#REF!,B228)</f>
        <v>#VALUE!</v>
      </c>
      <c r="O228" s="27" t="e">
        <f t="shared" si="0"/>
        <v>#VALUE!</v>
      </c>
    </row>
    <row r="229" spans="1:15" x14ac:dyDescent="0.2">
      <c r="A229" s="23" t="s">
        <v>299</v>
      </c>
      <c r="B229" s="16">
        <v>4260</v>
      </c>
      <c r="C229" s="2" t="s">
        <v>68</v>
      </c>
      <c r="D229" s="2" t="s">
        <v>42</v>
      </c>
      <c r="E229" s="16">
        <v>123.203</v>
      </c>
      <c r="F229" s="16">
        <v>123.108</v>
      </c>
      <c r="G229" s="23">
        <v>370.89080000000001</v>
      </c>
      <c r="H229" s="16">
        <v>2873.203</v>
      </c>
      <c r="I229" s="16">
        <v>921.86699999999996</v>
      </c>
      <c r="J229" s="23" t="s">
        <v>19</v>
      </c>
      <c r="K229" s="23" t="s">
        <v>19</v>
      </c>
      <c r="L229" s="25">
        <v>0.46</v>
      </c>
      <c r="N229" s="30" t="e" cm="1">
        <f t="array" ref="N229">[1]!ClothoidS_Gt(#REF!,#REF!,#REF!,#REF!,#REF!,#REF!,#REF!,#REF!,#REF!,B229)</f>
        <v>#VALUE!</v>
      </c>
      <c r="O229" s="27" t="e">
        <f t="shared" si="0"/>
        <v>#VALUE!</v>
      </c>
    </row>
    <row r="230" spans="1:15" x14ac:dyDescent="0.2">
      <c r="A230" s="23" t="s">
        <v>300</v>
      </c>
      <c r="B230" s="16">
        <v>4280</v>
      </c>
      <c r="C230" s="2" t="s">
        <v>68</v>
      </c>
      <c r="D230" s="2" t="s">
        <v>42</v>
      </c>
      <c r="E230" s="16">
        <v>123.196</v>
      </c>
      <c r="F230" s="16">
        <v>123.2</v>
      </c>
      <c r="G230" s="23">
        <v>370.79480000000001</v>
      </c>
      <c r="H230" s="16">
        <v>2855.2649999999999</v>
      </c>
      <c r="I230" s="16">
        <v>913.024</v>
      </c>
      <c r="J230" s="23" t="s">
        <v>19</v>
      </c>
      <c r="K230" s="23" t="s">
        <v>19</v>
      </c>
      <c r="L230" s="25">
        <v>0.46</v>
      </c>
      <c r="N230" s="30" t="e" cm="1">
        <f t="array" ref="N230">[1]!ClothoidS_Gt(#REF!,#REF!,#REF!,#REF!,#REF!,#REF!,#REF!,#REF!,#REF!,B230)</f>
        <v>#VALUE!</v>
      </c>
      <c r="O230" s="27" t="e">
        <f t="shared" si="0"/>
        <v>#VALUE!</v>
      </c>
    </row>
    <row r="231" spans="1:15" x14ac:dyDescent="0.2">
      <c r="A231" s="23" t="s">
        <v>301</v>
      </c>
      <c r="B231" s="16">
        <v>4300</v>
      </c>
      <c r="C231" s="2" t="s">
        <v>68</v>
      </c>
      <c r="D231" s="2" t="s">
        <v>42</v>
      </c>
      <c r="E231" s="16">
        <v>123.188</v>
      </c>
      <c r="F231" s="16">
        <v>123.292</v>
      </c>
      <c r="G231" s="23">
        <v>370.7328</v>
      </c>
      <c r="H231" s="16">
        <v>2837.337</v>
      </c>
      <c r="I231" s="16">
        <v>904.15700000000004</v>
      </c>
      <c r="J231" s="23" t="s">
        <v>19</v>
      </c>
      <c r="K231" s="23" t="s">
        <v>19</v>
      </c>
      <c r="L231" s="25">
        <v>0.46</v>
      </c>
      <c r="N231" s="30" t="e" cm="1">
        <f t="array" ref="N231">[1]!ClothoidS_Gt(#REF!,#REF!,#REF!,#REF!,#REF!,#REF!,#REF!,#REF!,#REF!,B231)</f>
        <v>#VALUE!</v>
      </c>
      <c r="O231" s="27" t="e">
        <f t="shared" si="0"/>
        <v>#VALUE!</v>
      </c>
    </row>
    <row r="232" spans="1:15" x14ac:dyDescent="0.2">
      <c r="A232" s="23" t="s">
        <v>302</v>
      </c>
      <c r="B232" s="16">
        <v>4320</v>
      </c>
      <c r="C232" s="2" t="s">
        <v>68</v>
      </c>
      <c r="D232" s="2" t="s">
        <v>42</v>
      </c>
      <c r="E232" s="16">
        <v>123.181</v>
      </c>
      <c r="F232" s="16">
        <v>123.384</v>
      </c>
      <c r="G232" s="23">
        <v>370.7047</v>
      </c>
      <c r="H232" s="16">
        <v>2819.4160000000002</v>
      </c>
      <c r="I232" s="16">
        <v>895.279</v>
      </c>
      <c r="J232" s="23" t="s">
        <v>19</v>
      </c>
      <c r="K232" s="23" t="s">
        <v>19</v>
      </c>
      <c r="L232" s="25">
        <v>0.46</v>
      </c>
      <c r="N232" s="30" t="e" cm="1">
        <f t="array" ref="N232">[1]!ClothoidS_Gt(#REF!,#REF!,#REF!,#REF!,#REF!,#REF!,#REF!,#REF!,#REF!,B232)</f>
        <v>#VALUE!</v>
      </c>
      <c r="O232" s="27" t="e">
        <f t="shared" si="0"/>
        <v>#VALUE!</v>
      </c>
    </row>
    <row r="233" spans="1:15" x14ac:dyDescent="0.2">
      <c r="A233" s="23" t="s">
        <v>303</v>
      </c>
      <c r="B233" s="16">
        <v>4326.4949999999999</v>
      </c>
      <c r="C233" s="2" t="s">
        <v>68</v>
      </c>
      <c r="D233" s="2" t="s">
        <v>42</v>
      </c>
      <c r="E233" s="16">
        <v>123.178</v>
      </c>
      <c r="F233" s="16">
        <v>123.413</v>
      </c>
      <c r="G233" s="23">
        <v>370.70299999999997</v>
      </c>
      <c r="H233" s="16">
        <v>2813.5970000000002</v>
      </c>
      <c r="I233" s="16">
        <v>892.39400000000001</v>
      </c>
      <c r="J233" s="23" t="s">
        <v>19</v>
      </c>
      <c r="K233" s="23" t="s">
        <v>19</v>
      </c>
      <c r="L233" s="25">
        <v>0.46</v>
      </c>
      <c r="N233" s="30" t="e" cm="1">
        <f t="array" ref="N233">[1]!ClothoidS_Gt(#REF!,#REF!,#REF!,#REF!,#REF!,#REF!,#REF!,#REF!,#REF!,B233)</f>
        <v>#VALUE!</v>
      </c>
      <c r="O233" s="27" t="e">
        <f t="shared" si="0"/>
        <v>#VALUE!</v>
      </c>
    </row>
    <row r="234" spans="1:15" x14ac:dyDescent="0.2">
      <c r="A234" s="23" t="s">
        <v>304</v>
      </c>
      <c r="B234" s="16">
        <v>4340</v>
      </c>
      <c r="C234" s="2" t="s">
        <v>69</v>
      </c>
      <c r="D234" s="2" t="s">
        <v>42</v>
      </c>
      <c r="E234" s="16">
        <v>123.173</v>
      </c>
      <c r="F234" s="16">
        <v>123.47499999999999</v>
      </c>
      <c r="G234" s="23">
        <v>370.71069999999997</v>
      </c>
      <c r="H234" s="16">
        <v>2801.4969999999998</v>
      </c>
      <c r="I234" s="16">
        <v>886.39700000000005</v>
      </c>
      <c r="J234" s="23" t="s">
        <v>19</v>
      </c>
      <c r="K234" s="23" t="s">
        <v>19</v>
      </c>
      <c r="L234" s="25">
        <v>0.46</v>
      </c>
      <c r="N234" s="30" t="e" cm="1">
        <f t="array" ref="N234">[1]!ClothoidS_Gt(#REF!,#REF!,#REF!,#REF!,#REF!,#REF!,#REF!,#REF!,#REF!,B234)</f>
        <v>#VALUE!</v>
      </c>
      <c r="O234" s="27" t="e">
        <f t="shared" si="0"/>
        <v>#VALUE!</v>
      </c>
    </row>
    <row r="235" spans="1:15" x14ac:dyDescent="0.2">
      <c r="A235" s="23" t="s">
        <v>305</v>
      </c>
      <c r="B235" s="16">
        <v>4360</v>
      </c>
      <c r="C235" s="2" t="s">
        <v>69</v>
      </c>
      <c r="D235" s="2" t="s">
        <v>44</v>
      </c>
      <c r="E235" s="16">
        <v>123.166</v>
      </c>
      <c r="F235" s="16">
        <v>123.56699999999999</v>
      </c>
      <c r="G235" s="23">
        <v>370.75060000000002</v>
      </c>
      <c r="H235" s="16">
        <v>2783.5740000000001</v>
      </c>
      <c r="I235" s="16">
        <v>877.52099999999996</v>
      </c>
      <c r="J235" s="23" t="s">
        <v>19</v>
      </c>
      <c r="K235" s="23" t="s">
        <v>19</v>
      </c>
      <c r="L235" s="25">
        <v>0.45</v>
      </c>
      <c r="N235" s="30" t="e" cm="1">
        <f t="array" ref="N235">[1]!ClothoidS_Gt(#REF!,#REF!,#REF!,#REF!,#REF!,#REF!,#REF!,#REF!,#REF!,B235)</f>
        <v>#VALUE!</v>
      </c>
      <c r="O235" s="27" t="e">
        <f t="shared" si="0"/>
        <v>#VALUE!</v>
      </c>
    </row>
    <row r="236" spans="1:15" x14ac:dyDescent="0.2">
      <c r="A236" s="23" t="s">
        <v>306</v>
      </c>
      <c r="B236" s="16">
        <v>4380</v>
      </c>
      <c r="C236" s="2" t="s">
        <v>69</v>
      </c>
      <c r="D236" s="2" t="s">
        <v>44</v>
      </c>
      <c r="E236" s="16">
        <v>123.158</v>
      </c>
      <c r="F236" s="16">
        <v>123.655</v>
      </c>
      <c r="G236" s="23">
        <v>370.82459999999998</v>
      </c>
      <c r="H236" s="16">
        <v>2765.643</v>
      </c>
      <c r="I236" s="16">
        <v>868.66200000000003</v>
      </c>
      <c r="J236" s="23" t="s">
        <v>19</v>
      </c>
      <c r="K236" s="23" t="s">
        <v>19</v>
      </c>
      <c r="L236" s="25">
        <v>0.43</v>
      </c>
      <c r="N236" s="30" t="e" cm="1">
        <f t="array" ref="N236">[1]!ClothoidS_Gt(#REF!,#REF!,#REF!,#REF!,#REF!,#REF!,#REF!,#REF!,#REF!,B236)</f>
        <v>#VALUE!</v>
      </c>
      <c r="O236" s="27" t="e">
        <f t="shared" si="0"/>
        <v>#VALUE!</v>
      </c>
    </row>
    <row r="237" spans="1:15" x14ac:dyDescent="0.2">
      <c r="A237" s="23" t="s">
        <v>307</v>
      </c>
      <c r="B237" s="16">
        <v>4400</v>
      </c>
      <c r="C237" s="2" t="s">
        <v>69</v>
      </c>
      <c r="D237" s="2" t="s">
        <v>44</v>
      </c>
      <c r="E237" s="16">
        <v>123.151</v>
      </c>
      <c r="F237" s="16">
        <v>123.739</v>
      </c>
      <c r="G237" s="23">
        <v>370.9325</v>
      </c>
      <c r="H237" s="16">
        <v>2747.7</v>
      </c>
      <c r="I237" s="16">
        <v>859.82799999999997</v>
      </c>
      <c r="J237" s="23" t="s">
        <v>19</v>
      </c>
      <c r="K237" s="23" t="s">
        <v>19</v>
      </c>
      <c r="L237" s="25">
        <v>0.41</v>
      </c>
      <c r="N237" s="30" t="e" cm="1">
        <f t="array" ref="N237">[1]!ClothoidS_Gt(#REF!,#REF!,#REF!,#REF!,#REF!,#REF!,#REF!,#REF!,#REF!,B237)</f>
        <v>#VALUE!</v>
      </c>
      <c r="O237" s="27" t="e">
        <f t="shared" si="0"/>
        <v>#VALUE!</v>
      </c>
    </row>
    <row r="238" spans="1:15" x14ac:dyDescent="0.2">
      <c r="A238" s="23" t="s">
        <v>308</v>
      </c>
      <c r="B238" s="16">
        <v>4420</v>
      </c>
      <c r="C238" s="2" t="s">
        <v>69</v>
      </c>
      <c r="D238" s="2" t="s">
        <v>44</v>
      </c>
      <c r="E238" s="16">
        <v>123.143</v>
      </c>
      <c r="F238" s="16">
        <v>123.819</v>
      </c>
      <c r="G238" s="23">
        <v>371.07440000000003</v>
      </c>
      <c r="H238" s="16">
        <v>2729.739</v>
      </c>
      <c r="I238" s="16">
        <v>851.029</v>
      </c>
      <c r="J238" s="23" t="s">
        <v>19</v>
      </c>
      <c r="K238" s="23" t="s">
        <v>19</v>
      </c>
      <c r="L238" s="25">
        <v>0.39</v>
      </c>
      <c r="N238" s="30" t="e" cm="1">
        <f t="array" ref="N238">[1]!ClothoidS_Gt(#REF!,#REF!,#REF!,#REF!,#REF!,#REF!,#REF!,#REF!,#REF!,B238)</f>
        <v>#VALUE!</v>
      </c>
      <c r="O238" s="27" t="e">
        <f t="shared" si="0"/>
        <v>#VALUE!</v>
      </c>
    </row>
    <row r="239" spans="1:15" x14ac:dyDescent="0.2">
      <c r="A239" s="23" t="s">
        <v>309</v>
      </c>
      <c r="B239" s="16">
        <v>4440</v>
      </c>
      <c r="C239" s="2" t="s">
        <v>69</v>
      </c>
      <c r="D239" s="2" t="s">
        <v>44</v>
      </c>
      <c r="E239" s="16">
        <v>123.136</v>
      </c>
      <c r="F239" s="16">
        <v>123.895</v>
      </c>
      <c r="G239" s="23">
        <v>371.25029999999998</v>
      </c>
      <c r="H239" s="16">
        <v>2711.7570000000001</v>
      </c>
      <c r="I239" s="16">
        <v>842.27499999999998</v>
      </c>
      <c r="J239" s="23" t="s">
        <v>19</v>
      </c>
      <c r="K239" s="23" t="s">
        <v>19</v>
      </c>
      <c r="L239" s="25">
        <v>0.37</v>
      </c>
      <c r="N239" s="30" t="e" cm="1">
        <f t="array" ref="N239">[1]!ClothoidS_Gt(#REF!,#REF!,#REF!,#REF!,#REF!,#REF!,#REF!,#REF!,#REF!,B239)</f>
        <v>#VALUE!</v>
      </c>
      <c r="O239" s="27" t="e">
        <f t="shared" si="0"/>
        <v>#VALUE!</v>
      </c>
    </row>
    <row r="240" spans="1:15" x14ac:dyDescent="0.2">
      <c r="A240" s="23" t="s">
        <v>310</v>
      </c>
      <c r="B240" s="16">
        <v>4460</v>
      </c>
      <c r="C240" s="2" t="s">
        <v>69</v>
      </c>
      <c r="D240" s="2" t="s">
        <v>44</v>
      </c>
      <c r="E240" s="16">
        <v>123.128</v>
      </c>
      <c r="F240" s="16">
        <v>123.967</v>
      </c>
      <c r="G240" s="23">
        <v>371.46019999999999</v>
      </c>
      <c r="H240" s="16">
        <v>2693.748</v>
      </c>
      <c r="I240" s="16">
        <v>833.57600000000002</v>
      </c>
      <c r="J240" s="23" t="s">
        <v>19</v>
      </c>
      <c r="K240" s="23" t="s">
        <v>19</v>
      </c>
      <c r="L240" s="25">
        <v>0.35</v>
      </c>
      <c r="N240" s="30" t="e" cm="1">
        <f t="array" ref="N240">[1]!ClothoidS_Gt(#REF!,#REF!,#REF!,#REF!,#REF!,#REF!,#REF!,#REF!,#REF!,B240)</f>
        <v>#VALUE!</v>
      </c>
      <c r="O240" s="27" t="e">
        <f t="shared" si="0"/>
        <v>#VALUE!</v>
      </c>
    </row>
    <row r="241" spans="1:15" x14ac:dyDescent="0.2">
      <c r="A241" s="23" t="s">
        <v>311</v>
      </c>
      <c r="B241" s="16">
        <v>4480</v>
      </c>
      <c r="C241" s="2" t="s">
        <v>69</v>
      </c>
      <c r="D241" s="2" t="s">
        <v>44</v>
      </c>
      <c r="E241" s="16">
        <v>123.12</v>
      </c>
      <c r="F241" s="16">
        <v>124.035</v>
      </c>
      <c r="G241" s="23">
        <v>371.70400000000001</v>
      </c>
      <c r="H241" s="16">
        <v>2675.7080000000001</v>
      </c>
      <c r="I241" s="16">
        <v>824.94100000000003</v>
      </c>
      <c r="J241" s="23" t="s">
        <v>19</v>
      </c>
      <c r="K241" s="23" t="s">
        <v>19</v>
      </c>
      <c r="L241" s="25">
        <v>0.33</v>
      </c>
      <c r="N241" s="30" t="e" cm="1">
        <f t="array" ref="N241">[1]!ClothoidS_Gt(#REF!,#REF!,#REF!,#REF!,#REF!,#REF!,#REF!,#REF!,#REF!,B241)</f>
        <v>#VALUE!</v>
      </c>
      <c r="O241" s="27" t="e">
        <f t="shared" si="0"/>
        <v>#VALUE!</v>
      </c>
    </row>
    <row r="242" spans="1:15" x14ac:dyDescent="0.2">
      <c r="A242" s="23" t="s">
        <v>312</v>
      </c>
      <c r="B242" s="16">
        <v>4500</v>
      </c>
      <c r="C242" s="2" t="s">
        <v>69</v>
      </c>
      <c r="D242" s="2" t="s">
        <v>44</v>
      </c>
      <c r="E242" s="16">
        <v>123.113</v>
      </c>
      <c r="F242" s="16">
        <v>124.099</v>
      </c>
      <c r="G242" s="23">
        <v>371.9819</v>
      </c>
      <c r="H242" s="16">
        <v>2657.6329999999998</v>
      </c>
      <c r="I242" s="16">
        <v>816.38</v>
      </c>
      <c r="J242" s="23" t="s">
        <v>19</v>
      </c>
      <c r="K242" s="23" t="s">
        <v>19</v>
      </c>
      <c r="L242" s="25">
        <v>0.31</v>
      </c>
      <c r="N242" s="30" t="e" cm="1">
        <f t="array" ref="N242">[1]!ClothoidS_Gt(#REF!,#REF!,#REF!,#REF!,#REF!,#REF!,#REF!,#REF!,#REF!,B242)</f>
        <v>#VALUE!</v>
      </c>
      <c r="O242" s="27" t="e">
        <f t="shared" si="0"/>
        <v>#VALUE!</v>
      </c>
    </row>
    <row r="243" spans="1:15" x14ac:dyDescent="0.2">
      <c r="A243" s="23" t="s">
        <v>313</v>
      </c>
      <c r="B243" s="16">
        <v>4520</v>
      </c>
      <c r="C243" s="2" t="s">
        <v>69</v>
      </c>
      <c r="D243" s="2" t="s">
        <v>44</v>
      </c>
      <c r="E243" s="16">
        <v>123.105</v>
      </c>
      <c r="F243" s="16">
        <v>124.15900000000001</v>
      </c>
      <c r="G243" s="23">
        <v>372.2937</v>
      </c>
      <c r="H243" s="16">
        <v>2639.518</v>
      </c>
      <c r="I243" s="16">
        <v>807.90300000000002</v>
      </c>
      <c r="J243" s="23" t="s">
        <v>19</v>
      </c>
      <c r="K243" s="23" t="s">
        <v>19</v>
      </c>
      <c r="L243" s="25">
        <v>0.28999999999999998</v>
      </c>
      <c r="N243" s="30" t="e" cm="1">
        <f t="array" ref="N243">[1]!ClothoidS_Gt(#REF!,#REF!,#REF!,#REF!,#REF!,#REF!,#REF!,#REF!,#REF!,B243)</f>
        <v>#VALUE!</v>
      </c>
      <c r="O243" s="27" t="e">
        <f t="shared" si="0"/>
        <v>#VALUE!</v>
      </c>
    </row>
    <row r="244" spans="1:15" x14ac:dyDescent="0.2">
      <c r="A244" s="23" t="s">
        <v>314</v>
      </c>
      <c r="B244" s="16">
        <v>4540</v>
      </c>
      <c r="C244" s="2" t="s">
        <v>69</v>
      </c>
      <c r="D244" s="2" t="s">
        <v>44</v>
      </c>
      <c r="E244" s="16">
        <v>123.09699999999999</v>
      </c>
      <c r="F244" s="16">
        <v>124.215</v>
      </c>
      <c r="G244" s="23">
        <v>372.6395</v>
      </c>
      <c r="H244" s="16">
        <v>2621.36</v>
      </c>
      <c r="I244" s="16">
        <v>799.52</v>
      </c>
      <c r="J244" s="23" t="s">
        <v>19</v>
      </c>
      <c r="K244" s="23" t="s">
        <v>19</v>
      </c>
      <c r="L244" s="25">
        <v>0.27</v>
      </c>
      <c r="N244" s="30" t="e" cm="1">
        <f t="array" ref="N244">[1]!ClothoidS_Gt(#REF!,#REF!,#REF!,#REF!,#REF!,#REF!,#REF!,#REF!,#REF!,B244)</f>
        <v>#VALUE!</v>
      </c>
      <c r="O244" s="27" t="e">
        <f t="shared" si="0"/>
        <v>#VALUE!</v>
      </c>
    </row>
    <row r="245" spans="1:15" x14ac:dyDescent="0.2">
      <c r="A245" s="23" t="s">
        <v>315</v>
      </c>
      <c r="B245" s="16">
        <v>4560</v>
      </c>
      <c r="C245" s="2" t="s">
        <v>69</v>
      </c>
      <c r="D245" s="2" t="s">
        <v>44</v>
      </c>
      <c r="E245" s="16">
        <v>123.089</v>
      </c>
      <c r="F245" s="16">
        <v>124.267</v>
      </c>
      <c r="G245" s="23">
        <v>373.01929999999999</v>
      </c>
      <c r="H245" s="16">
        <v>2603.1550000000002</v>
      </c>
      <c r="I245" s="16">
        <v>791.24</v>
      </c>
      <c r="J245" s="23" t="s">
        <v>19</v>
      </c>
      <c r="K245" s="23" t="s">
        <v>19</v>
      </c>
      <c r="L245" s="25">
        <v>0.25</v>
      </c>
      <c r="N245" s="30" t="e" cm="1">
        <f t="array" ref="N245">[1]!ClothoidS_Gt(#REF!,#REF!,#REF!,#REF!,#REF!,#REF!,#REF!,#REF!,#REF!,B245)</f>
        <v>#VALUE!</v>
      </c>
      <c r="O245" s="27" t="e">
        <f t="shared" si="0"/>
        <v>#VALUE!</v>
      </c>
    </row>
    <row r="246" spans="1:15" x14ac:dyDescent="0.2">
      <c r="A246" s="23" t="s">
        <v>316</v>
      </c>
      <c r="B246" s="16">
        <v>4580</v>
      </c>
      <c r="C246" s="2" t="s">
        <v>69</v>
      </c>
      <c r="D246" s="2" t="s">
        <v>44</v>
      </c>
      <c r="E246" s="16">
        <v>123.081</v>
      </c>
      <c r="F246" s="16">
        <v>124.315</v>
      </c>
      <c r="G246" s="23">
        <v>373.43310000000002</v>
      </c>
      <c r="H246" s="16">
        <v>2584.8980000000001</v>
      </c>
      <c r="I246" s="16">
        <v>783.07299999999998</v>
      </c>
      <c r="J246" s="23" t="s">
        <v>19</v>
      </c>
      <c r="K246" s="23" t="s">
        <v>19</v>
      </c>
      <c r="L246" s="25">
        <v>0.23</v>
      </c>
      <c r="N246" s="30" t="e" cm="1">
        <f t="array" ref="N246">[1]!ClothoidS_Gt(#REF!,#REF!,#REF!,#REF!,#REF!,#REF!,#REF!,#REF!,#REF!,B246)</f>
        <v>#VALUE!</v>
      </c>
      <c r="O246" s="27" t="e">
        <f t="shared" si="0"/>
        <v>#VALUE!</v>
      </c>
    </row>
    <row r="247" spans="1:15" x14ac:dyDescent="0.2">
      <c r="A247" s="23" t="s">
        <v>317</v>
      </c>
      <c r="B247" s="16">
        <v>4600</v>
      </c>
      <c r="C247" s="2" t="s">
        <v>69</v>
      </c>
      <c r="D247" s="2" t="s">
        <v>44</v>
      </c>
      <c r="E247" s="16">
        <v>123.07299999999999</v>
      </c>
      <c r="F247" s="16">
        <v>124.35899999999999</v>
      </c>
      <c r="G247" s="23">
        <v>373.8809</v>
      </c>
      <c r="H247" s="16">
        <v>2566.5859999999998</v>
      </c>
      <c r="I247" s="16">
        <v>775.03099999999995</v>
      </c>
      <c r="J247" s="23" t="s">
        <v>19</v>
      </c>
      <c r="K247" s="23" t="s">
        <v>19</v>
      </c>
      <c r="L247" s="25">
        <v>0.21</v>
      </c>
      <c r="N247" s="30" t="e" cm="1">
        <f t="array" ref="N247">[1]!ClothoidS_Gt(#REF!,#REF!,#REF!,#REF!,#REF!,#REF!,#REF!,#REF!,#REF!,B247)</f>
        <v>#VALUE!</v>
      </c>
      <c r="O247" s="27" t="e">
        <f t="shared" si="0"/>
        <v>#VALUE!</v>
      </c>
    </row>
    <row r="248" spans="1:15" x14ac:dyDescent="0.2">
      <c r="A248" s="23" t="s">
        <v>318</v>
      </c>
      <c r="B248" s="16">
        <v>4620</v>
      </c>
      <c r="C248" s="2" t="s">
        <v>69</v>
      </c>
      <c r="D248" s="2" t="s">
        <v>44</v>
      </c>
      <c r="E248" s="16">
        <v>123.06399999999999</v>
      </c>
      <c r="F248" s="16">
        <v>124.399</v>
      </c>
      <c r="G248" s="23">
        <v>374.36270000000002</v>
      </c>
      <c r="H248" s="16">
        <v>2548.2159999999999</v>
      </c>
      <c r="I248" s="16">
        <v>767.12199999999996</v>
      </c>
      <c r="J248" s="23" t="s">
        <v>19</v>
      </c>
      <c r="K248" s="23" t="s">
        <v>19</v>
      </c>
      <c r="L248" s="25">
        <v>0.19</v>
      </c>
      <c r="N248" s="30" t="e" cm="1">
        <f t="array" ref="N248">[1]!ClothoidS_Gt(#REF!,#REF!,#REF!,#REF!,#REF!,#REF!,#REF!,#REF!,#REF!,B248)</f>
        <v>#VALUE!</v>
      </c>
      <c r="O248" s="27" t="e">
        <f t="shared" si="0"/>
        <v>#VALUE!</v>
      </c>
    </row>
    <row r="249" spans="1:15" x14ac:dyDescent="0.2">
      <c r="A249" s="23" t="s">
        <v>319</v>
      </c>
      <c r="B249" s="16">
        <v>4640</v>
      </c>
      <c r="C249" s="2" t="s">
        <v>69</v>
      </c>
      <c r="D249" s="2" t="s">
        <v>44</v>
      </c>
      <c r="E249" s="16">
        <v>123.056</v>
      </c>
      <c r="F249" s="16">
        <v>124.43600000000001</v>
      </c>
      <c r="G249" s="23">
        <v>374.8784</v>
      </c>
      <c r="H249" s="16">
        <v>2529.7849999999999</v>
      </c>
      <c r="I249" s="16">
        <v>759.35799999999995</v>
      </c>
      <c r="J249" s="23" t="s">
        <v>19</v>
      </c>
      <c r="K249" s="23" t="s">
        <v>19</v>
      </c>
      <c r="L249" s="25">
        <v>0.17</v>
      </c>
      <c r="N249" s="30" t="e" cm="1">
        <f t="array" ref="N249">[1]!ClothoidS_Gt(#REF!,#REF!,#REF!,#REF!,#REF!,#REF!,#REF!,#REF!,#REF!,B249)</f>
        <v>#VALUE!</v>
      </c>
      <c r="O249" s="27" t="e">
        <f t="shared" si="0"/>
        <v>#VALUE!</v>
      </c>
    </row>
    <row r="250" spans="1:15" x14ac:dyDescent="0.2">
      <c r="A250" s="23" t="s">
        <v>320</v>
      </c>
      <c r="B250" s="16">
        <v>4660</v>
      </c>
      <c r="C250" s="2" t="s">
        <v>69</v>
      </c>
      <c r="D250" s="2" t="s">
        <v>44</v>
      </c>
      <c r="E250" s="16">
        <v>123.047</v>
      </c>
      <c r="F250" s="16">
        <v>124.468</v>
      </c>
      <c r="G250" s="23">
        <v>375.4282</v>
      </c>
      <c r="H250" s="16">
        <v>2511.2890000000002</v>
      </c>
      <c r="I250" s="16">
        <v>751.74800000000005</v>
      </c>
      <c r="J250" s="23" t="s">
        <v>19</v>
      </c>
      <c r="K250" s="23" t="s">
        <v>19</v>
      </c>
      <c r="L250" s="25">
        <v>0.15</v>
      </c>
      <c r="N250" s="30" t="e" cm="1">
        <f t="array" ref="N250">[1]!ClothoidS_Gt(#REF!,#REF!,#REF!,#REF!,#REF!,#REF!,#REF!,#REF!,#REF!,B250)</f>
        <v>#VALUE!</v>
      </c>
      <c r="O250" s="27" t="e">
        <f t="shared" si="0"/>
        <v>#VALUE!</v>
      </c>
    </row>
    <row r="251" spans="1:15" x14ac:dyDescent="0.2">
      <c r="A251" s="23" t="s">
        <v>321</v>
      </c>
      <c r="B251" s="16">
        <v>4680</v>
      </c>
      <c r="C251" s="2" t="s">
        <v>69</v>
      </c>
      <c r="D251" s="2" t="s">
        <v>44</v>
      </c>
      <c r="E251" s="16">
        <v>123.039</v>
      </c>
      <c r="F251" s="16">
        <v>124.496</v>
      </c>
      <c r="G251" s="23">
        <v>376.01190000000003</v>
      </c>
      <c r="H251" s="16">
        <v>2492.7269999999999</v>
      </c>
      <c r="I251" s="16">
        <v>744.303</v>
      </c>
      <c r="J251" s="23" t="s">
        <v>19</v>
      </c>
      <c r="K251" s="23" t="s">
        <v>19</v>
      </c>
      <c r="L251" s="25">
        <v>0.13</v>
      </c>
      <c r="N251" s="30" t="e" cm="1">
        <f t="array" ref="N251">[1]!ClothoidS_Gt(#REF!,#REF!,#REF!,#REF!,#REF!,#REF!,#REF!,#REF!,#REF!,B251)</f>
        <v>#VALUE!</v>
      </c>
      <c r="O251" s="27" t="e">
        <f t="shared" si="0"/>
        <v>#VALUE!</v>
      </c>
    </row>
    <row r="252" spans="1:15" x14ac:dyDescent="0.2">
      <c r="A252" s="23" t="s">
        <v>322</v>
      </c>
      <c r="B252" s="16">
        <v>4700</v>
      </c>
      <c r="C252" s="2" t="s">
        <v>69</v>
      </c>
      <c r="D252" s="2" t="s">
        <v>44</v>
      </c>
      <c r="E252" s="16">
        <v>123.03</v>
      </c>
      <c r="F252" s="16">
        <v>124.52</v>
      </c>
      <c r="G252" s="23">
        <v>376.62959999999998</v>
      </c>
      <c r="H252" s="16">
        <v>2474.0949999999998</v>
      </c>
      <c r="I252" s="16">
        <v>737.03300000000002</v>
      </c>
      <c r="J252" s="23" t="s">
        <v>19</v>
      </c>
      <c r="K252" s="23" t="s">
        <v>19</v>
      </c>
      <c r="L252" s="25">
        <v>0.11</v>
      </c>
      <c r="N252" s="30" t="e" cm="1">
        <f t="array" ref="N252">[1]!ClothoidS_Gt(#REF!,#REF!,#REF!,#REF!,#REF!,#REF!,#REF!,#REF!,#REF!,B252)</f>
        <v>#VALUE!</v>
      </c>
      <c r="O252" s="27" t="e">
        <f t="shared" si="0"/>
        <v>#VALUE!</v>
      </c>
    </row>
    <row r="253" spans="1:15" x14ac:dyDescent="0.2">
      <c r="A253" s="23" t="s">
        <v>323</v>
      </c>
      <c r="B253" s="16">
        <v>4720</v>
      </c>
      <c r="C253" s="2" t="s">
        <v>69</v>
      </c>
      <c r="D253" s="2" t="s">
        <v>44</v>
      </c>
      <c r="E253" s="16">
        <v>123.021</v>
      </c>
      <c r="F253" s="16">
        <v>124.54</v>
      </c>
      <c r="G253" s="23">
        <v>377.28129999999999</v>
      </c>
      <c r="H253" s="16">
        <v>2455.3910000000001</v>
      </c>
      <c r="I253" s="16">
        <v>729.95</v>
      </c>
      <c r="J253" s="23" t="s">
        <v>19</v>
      </c>
      <c r="K253" s="23" t="s">
        <v>19</v>
      </c>
      <c r="L253" s="25">
        <v>0.09</v>
      </c>
      <c r="N253" s="30" t="e" cm="1">
        <f t="array" ref="N253">[1]!ClothoidS_Gt(#REF!,#REF!,#REF!,#REF!,#REF!,#REF!,#REF!,#REF!,#REF!,B253)</f>
        <v>#VALUE!</v>
      </c>
      <c r="O253" s="27" t="e">
        <f t="shared" si="0"/>
        <v>#VALUE!</v>
      </c>
    </row>
    <row r="254" spans="1:15" x14ac:dyDescent="0.2">
      <c r="A254" s="23" t="s">
        <v>324</v>
      </c>
      <c r="B254" s="16">
        <v>4740</v>
      </c>
      <c r="C254" s="2" t="s">
        <v>69</v>
      </c>
      <c r="D254" s="2" t="s">
        <v>44</v>
      </c>
      <c r="E254" s="16">
        <v>123.012</v>
      </c>
      <c r="F254" s="16">
        <v>124.556</v>
      </c>
      <c r="G254" s="23">
        <v>377.96699999999998</v>
      </c>
      <c r="H254" s="16">
        <v>2436.614</v>
      </c>
      <c r="I254" s="16">
        <v>723.06299999999999</v>
      </c>
      <c r="J254" s="23" t="s">
        <v>19</v>
      </c>
      <c r="K254" s="23" t="s">
        <v>19</v>
      </c>
      <c r="L254" s="25">
        <v>7.0000000000000007E-2</v>
      </c>
      <c r="N254" s="30" t="e" cm="1">
        <f t="array" ref="N254">[1]!ClothoidS_Gt(#REF!,#REF!,#REF!,#REF!,#REF!,#REF!,#REF!,#REF!,#REF!,B254)</f>
        <v>#VALUE!</v>
      </c>
      <c r="O254" s="27" t="e">
        <f t="shared" si="0"/>
        <v>#VALUE!</v>
      </c>
    </row>
    <row r="255" spans="1:15" x14ac:dyDescent="0.2">
      <c r="A255" s="23" t="s">
        <v>325</v>
      </c>
      <c r="B255" s="16">
        <v>4760</v>
      </c>
      <c r="C255" s="2" t="s">
        <v>69</v>
      </c>
      <c r="D255" s="2" t="s">
        <v>44</v>
      </c>
      <c r="E255" s="16">
        <v>123.003</v>
      </c>
      <c r="F255" s="16">
        <v>124.568</v>
      </c>
      <c r="G255" s="23">
        <v>378.68669999999997</v>
      </c>
      <c r="H255" s="16">
        <v>2417.7629999999999</v>
      </c>
      <c r="I255" s="16">
        <v>716.38499999999999</v>
      </c>
      <c r="J255" s="23" t="s">
        <v>19</v>
      </c>
      <c r="K255" s="23" t="s">
        <v>19</v>
      </c>
      <c r="L255" s="25">
        <v>0.05</v>
      </c>
      <c r="N255" s="30" t="e" cm="1">
        <f t="array" ref="N255">[1]!ClothoidS_Gt(#REF!,#REF!,#REF!,#REF!,#REF!,#REF!,#REF!,#REF!,#REF!,B255)</f>
        <v>#VALUE!</v>
      </c>
      <c r="O255" s="27" t="e">
        <f t="shared" si="0"/>
        <v>#VALUE!</v>
      </c>
    </row>
    <row r="256" spans="1:15" x14ac:dyDescent="0.2">
      <c r="A256" s="23" t="s">
        <v>326</v>
      </c>
      <c r="B256" s="16">
        <v>4780</v>
      </c>
      <c r="C256" s="2" t="s">
        <v>69</v>
      </c>
      <c r="D256" s="2" t="s">
        <v>44</v>
      </c>
      <c r="E256" s="16">
        <v>122.994</v>
      </c>
      <c r="F256" s="16">
        <v>124.57599999999999</v>
      </c>
      <c r="G256" s="23">
        <v>379.44040000000001</v>
      </c>
      <c r="H256" s="16">
        <v>2398.835</v>
      </c>
      <c r="I256" s="16">
        <v>709.92399999999998</v>
      </c>
      <c r="J256" s="23" t="s">
        <v>19</v>
      </c>
      <c r="K256" s="23" t="s">
        <v>19</v>
      </c>
      <c r="L256" s="25">
        <v>0.03</v>
      </c>
      <c r="N256" s="30" t="e" cm="1">
        <f t="array" ref="N256">[1]!ClothoidS_Gt(#REF!,#REF!,#REF!,#REF!,#REF!,#REF!,#REF!,#REF!,#REF!,B256)</f>
        <v>#VALUE!</v>
      </c>
      <c r="O256" s="27" t="e">
        <f t="shared" si="0"/>
        <v>#VALUE!</v>
      </c>
    </row>
    <row r="257" spans="1:15" x14ac:dyDescent="0.2">
      <c r="A257" s="23" t="s">
        <v>327</v>
      </c>
      <c r="B257" s="16">
        <v>4800</v>
      </c>
      <c r="C257" s="2" t="s">
        <v>69</v>
      </c>
      <c r="D257" s="2" t="s">
        <v>44</v>
      </c>
      <c r="E257" s="16">
        <v>122.98399999999999</v>
      </c>
      <c r="F257" s="16">
        <v>124.58</v>
      </c>
      <c r="G257" s="23">
        <v>380.22800000000001</v>
      </c>
      <c r="H257" s="16">
        <v>2379.83</v>
      </c>
      <c r="I257" s="16">
        <v>703.69399999999996</v>
      </c>
      <c r="J257" s="23" t="s">
        <v>19</v>
      </c>
      <c r="K257" s="23" t="s">
        <v>19</v>
      </c>
      <c r="L257" s="25">
        <v>0.01</v>
      </c>
      <c r="N257" s="30" t="e" cm="1">
        <f t="array" ref="N257">[1]!ClothoidS_Gt(#REF!,#REF!,#REF!,#REF!,#REF!,#REF!,#REF!,#REF!,#REF!,B257)</f>
        <v>#VALUE!</v>
      </c>
      <c r="O257" s="27" t="e">
        <f t="shared" si="0"/>
        <v>#VALUE!</v>
      </c>
    </row>
    <row r="258" spans="1:15" x14ac:dyDescent="0.2">
      <c r="A258" s="23" t="s">
        <v>328</v>
      </c>
      <c r="B258" s="16">
        <v>4820</v>
      </c>
      <c r="C258" s="2" t="s">
        <v>69</v>
      </c>
      <c r="D258" s="2" t="s">
        <v>44</v>
      </c>
      <c r="E258" s="16">
        <v>122.974</v>
      </c>
      <c r="F258" s="16">
        <v>124.58</v>
      </c>
      <c r="G258" s="23">
        <v>381.04969999999997</v>
      </c>
      <c r="H258" s="16">
        <v>2360.7489999999998</v>
      </c>
      <c r="I258" s="16">
        <v>697.70399999999995</v>
      </c>
      <c r="J258" s="23" t="s">
        <v>19</v>
      </c>
      <c r="K258" s="23" t="s">
        <v>19</v>
      </c>
      <c r="L258" s="25">
        <v>-0.01</v>
      </c>
      <c r="N258" s="30" t="e" cm="1">
        <f t="array" ref="N258">[1]!ClothoidS_Gt(#REF!,#REF!,#REF!,#REF!,#REF!,#REF!,#REF!,#REF!,#REF!,B258)</f>
        <v>#VALUE!</v>
      </c>
      <c r="O258" s="27" t="e">
        <f t="shared" si="0"/>
        <v>#VALUE!</v>
      </c>
    </row>
    <row r="259" spans="1:15" x14ac:dyDescent="0.2">
      <c r="A259" s="23" t="s">
        <v>329</v>
      </c>
      <c r="B259" s="16">
        <v>4840</v>
      </c>
      <c r="C259" s="2" t="s">
        <v>69</v>
      </c>
      <c r="D259" s="2" t="s">
        <v>44</v>
      </c>
      <c r="E259" s="16">
        <v>122.964</v>
      </c>
      <c r="F259" s="16">
        <v>124.57599999999999</v>
      </c>
      <c r="G259" s="23">
        <v>381.90530000000001</v>
      </c>
      <c r="H259" s="16">
        <v>2341.59</v>
      </c>
      <c r="I259" s="16">
        <v>691.96600000000001</v>
      </c>
      <c r="J259" s="23" t="s">
        <v>19</v>
      </c>
      <c r="K259" s="23" t="s">
        <v>19</v>
      </c>
      <c r="L259" s="25">
        <v>-0.03</v>
      </c>
      <c r="N259" s="30" t="e" cm="1">
        <f t="array" ref="N259">[1]!ClothoidS_Gt(#REF!,#REF!,#REF!,#REF!,#REF!,#REF!,#REF!,#REF!,#REF!,B259)</f>
        <v>#VALUE!</v>
      </c>
      <c r="O259" s="27" t="e">
        <f t="shared" si="0"/>
        <v>#VALUE!</v>
      </c>
    </row>
    <row r="260" spans="1:15" x14ac:dyDescent="0.2">
      <c r="A260" s="23" t="s">
        <v>330</v>
      </c>
      <c r="B260" s="16">
        <v>4860</v>
      </c>
      <c r="C260" s="2" t="s">
        <v>69</v>
      </c>
      <c r="D260" s="2" t="s">
        <v>44</v>
      </c>
      <c r="E260" s="16">
        <v>122.95399999999999</v>
      </c>
      <c r="F260" s="16">
        <v>124.568</v>
      </c>
      <c r="G260" s="23">
        <v>382.79489999999998</v>
      </c>
      <c r="H260" s="16">
        <v>2322.3539999999998</v>
      </c>
      <c r="I260" s="16">
        <v>686.49099999999999</v>
      </c>
      <c r="J260" s="23" t="s">
        <v>19</v>
      </c>
      <c r="K260" s="23" t="s">
        <v>19</v>
      </c>
      <c r="L260" s="25">
        <v>-0.05</v>
      </c>
      <c r="N260" s="30" t="e" cm="1">
        <f t="array" ref="N260">[1]!ClothoidS_Gt(#REF!,#REF!,#REF!,#REF!,#REF!,#REF!,#REF!,#REF!,#REF!,B260)</f>
        <v>#VALUE!</v>
      </c>
      <c r="O260" s="27" t="e">
        <f t="shared" si="0"/>
        <v>#VALUE!</v>
      </c>
    </row>
    <row r="261" spans="1:15" x14ac:dyDescent="0.2">
      <c r="A261" s="23" t="s">
        <v>331</v>
      </c>
      <c r="B261" s="16">
        <v>4880</v>
      </c>
      <c r="C261" s="2" t="s">
        <v>69</v>
      </c>
      <c r="D261" s="2" t="s">
        <v>44</v>
      </c>
      <c r="E261" s="16">
        <v>122.944</v>
      </c>
      <c r="F261" s="16">
        <v>124.556</v>
      </c>
      <c r="G261" s="23">
        <v>383.71850000000001</v>
      </c>
      <c r="H261" s="16">
        <v>2303.0419999999999</v>
      </c>
      <c r="I261" s="16">
        <v>681.29</v>
      </c>
      <c r="J261" s="23" t="s">
        <v>19</v>
      </c>
      <c r="K261" s="23" t="s">
        <v>19</v>
      </c>
      <c r="L261" s="25">
        <v>-7.0000000000000007E-2</v>
      </c>
      <c r="N261" s="30" t="e" cm="1">
        <f t="array" ref="N261">[1]!ClothoidS_Gt(#REF!,#REF!,#REF!,#REF!,#REF!,#REF!,#REF!,#REF!,#REF!,B261)</f>
        <v>#VALUE!</v>
      </c>
      <c r="O261" s="27" t="e">
        <f t="shared" si="0"/>
        <v>#VALUE!</v>
      </c>
    </row>
    <row r="262" spans="1:15" x14ac:dyDescent="0.2">
      <c r="A262" s="23" t="s">
        <v>332</v>
      </c>
      <c r="B262" s="16">
        <v>4900</v>
      </c>
      <c r="C262" s="2" t="s">
        <v>69</v>
      </c>
      <c r="D262" s="2" t="s">
        <v>44</v>
      </c>
      <c r="E262" s="16">
        <v>122.934</v>
      </c>
      <c r="F262" s="16">
        <v>124.54</v>
      </c>
      <c r="G262" s="23">
        <v>384.67610000000002</v>
      </c>
      <c r="H262" s="16">
        <v>2283.6550000000002</v>
      </c>
      <c r="I262" s="16">
        <v>676.37599999999998</v>
      </c>
      <c r="J262" s="23" t="s">
        <v>19</v>
      </c>
      <c r="K262" s="23" t="s">
        <v>19</v>
      </c>
      <c r="L262" s="25">
        <v>-0.09</v>
      </c>
      <c r="N262" s="30" t="e" cm="1">
        <f t="array" ref="N262">[1]!ClothoidS_Gt(#REF!,#REF!,#REF!,#REF!,#REF!,#REF!,#REF!,#REF!,#REF!,B262)</f>
        <v>#VALUE!</v>
      </c>
      <c r="O262" s="27" t="e">
        <f t="shared" si="0"/>
        <v>#VALUE!</v>
      </c>
    </row>
    <row r="263" spans="1:15" x14ac:dyDescent="0.2">
      <c r="A263" s="23" t="s">
        <v>333</v>
      </c>
      <c r="B263" s="16">
        <v>4920</v>
      </c>
      <c r="C263" s="2" t="s">
        <v>69</v>
      </c>
      <c r="D263" s="2" t="s">
        <v>44</v>
      </c>
      <c r="E263" s="16">
        <v>122.923</v>
      </c>
      <c r="F263" s="16">
        <v>124.52</v>
      </c>
      <c r="G263" s="23">
        <v>385.66759999999999</v>
      </c>
      <c r="H263" s="16">
        <v>2264.1959999999999</v>
      </c>
      <c r="I263" s="16">
        <v>671.75800000000004</v>
      </c>
      <c r="J263" s="23" t="s">
        <v>19</v>
      </c>
      <c r="K263" s="23" t="s">
        <v>19</v>
      </c>
      <c r="L263" s="25">
        <v>-0.11</v>
      </c>
      <c r="N263" s="30" t="e" cm="1">
        <f t="array" ref="N263">[1]!ClothoidS_Gt(#REF!,#REF!,#REF!,#REF!,#REF!,#REF!,#REF!,#REF!,#REF!,B263)</f>
        <v>#VALUE!</v>
      </c>
      <c r="O263" s="27" t="e">
        <f t="shared" si="0"/>
        <v>#VALUE!</v>
      </c>
    </row>
    <row r="264" spans="1:15" x14ac:dyDescent="0.2">
      <c r="A264" s="23" t="s">
        <v>334</v>
      </c>
      <c r="B264" s="16">
        <v>4940</v>
      </c>
      <c r="C264" s="2" t="s">
        <v>69</v>
      </c>
      <c r="D264" s="2" t="s">
        <v>44</v>
      </c>
      <c r="E264" s="16">
        <v>122.91200000000001</v>
      </c>
      <c r="F264" s="16">
        <v>124.496</v>
      </c>
      <c r="G264" s="23">
        <v>386.69319999999999</v>
      </c>
      <c r="H264" s="16">
        <v>2244.665</v>
      </c>
      <c r="I264" s="16">
        <v>667.45</v>
      </c>
      <c r="J264" s="23" t="s">
        <v>19</v>
      </c>
      <c r="K264" s="23" t="s">
        <v>19</v>
      </c>
      <c r="L264" s="25">
        <v>-0.13</v>
      </c>
      <c r="N264" s="30" t="e" cm="1">
        <f t="array" ref="N264">[1]!ClothoidS_Gt(#REF!,#REF!,#REF!,#REF!,#REF!,#REF!,#REF!,#REF!,#REF!,B264)</f>
        <v>#VALUE!</v>
      </c>
      <c r="O264" s="27" t="e">
        <f t="shared" si="0"/>
        <v>#VALUE!</v>
      </c>
    </row>
    <row r="265" spans="1:15" x14ac:dyDescent="0.2">
      <c r="A265" s="23" t="s">
        <v>335</v>
      </c>
      <c r="B265" s="16">
        <v>4950.8770000000004</v>
      </c>
      <c r="C265" s="2" t="s">
        <v>70</v>
      </c>
      <c r="D265" s="2" t="s">
        <v>44</v>
      </c>
      <c r="E265" s="16">
        <v>122.90600000000001</v>
      </c>
      <c r="F265" s="16">
        <v>124.482</v>
      </c>
      <c r="G265" s="23">
        <v>387.26519999999999</v>
      </c>
      <c r="H265" s="16">
        <v>2234.0160000000001</v>
      </c>
      <c r="I265" s="16">
        <v>665.24099999999999</v>
      </c>
      <c r="J265" s="23" t="s">
        <v>19</v>
      </c>
      <c r="K265" s="23" t="s">
        <v>19</v>
      </c>
      <c r="L265" s="25">
        <v>-0.14000000000000001</v>
      </c>
    </row>
    <row r="266" spans="1:15" x14ac:dyDescent="0.2">
      <c r="A266" s="23" t="s">
        <v>336</v>
      </c>
      <c r="B266" s="16">
        <v>4960</v>
      </c>
      <c r="C266" s="2" t="s">
        <v>70</v>
      </c>
      <c r="D266" s="2" t="s">
        <v>44</v>
      </c>
      <c r="E266" s="16">
        <v>122.901</v>
      </c>
      <c r="F266" s="16">
        <v>124.468</v>
      </c>
      <c r="G266" s="23">
        <v>387.74919999999997</v>
      </c>
      <c r="H266" s="16">
        <v>2225.067</v>
      </c>
      <c r="I266" s="16">
        <v>663.46199999999999</v>
      </c>
      <c r="J266" s="23" t="s">
        <v>19</v>
      </c>
      <c r="K266" s="23" t="s">
        <v>19</v>
      </c>
      <c r="L266" s="25">
        <v>-0.15</v>
      </c>
    </row>
    <row r="267" spans="1:15" x14ac:dyDescent="0.2">
      <c r="A267" s="23" t="s">
        <v>337</v>
      </c>
      <c r="B267" s="16">
        <v>4980</v>
      </c>
      <c r="C267" s="2" t="s">
        <v>70</v>
      </c>
      <c r="D267" s="2" t="s">
        <v>44</v>
      </c>
      <c r="E267" s="16">
        <v>122.893</v>
      </c>
      <c r="F267" s="16">
        <v>124.437</v>
      </c>
      <c r="G267" s="23">
        <v>388.81020000000001</v>
      </c>
      <c r="H267" s="16">
        <v>2205.4059999999999</v>
      </c>
      <c r="I267" s="16">
        <v>659.80100000000004</v>
      </c>
      <c r="J267" s="23" t="s">
        <v>19</v>
      </c>
      <c r="K267" s="23" t="s">
        <v>19</v>
      </c>
      <c r="L267" s="25">
        <v>-0.17</v>
      </c>
    </row>
    <row r="268" spans="1:15" x14ac:dyDescent="0.2">
      <c r="A268" s="23" t="s">
        <v>338</v>
      </c>
      <c r="B268" s="16">
        <v>5000</v>
      </c>
      <c r="C268" s="2" t="s">
        <v>70</v>
      </c>
      <c r="D268" s="2" t="s">
        <v>44</v>
      </c>
      <c r="E268" s="16">
        <v>122.884</v>
      </c>
      <c r="F268" s="16">
        <v>124.401</v>
      </c>
      <c r="G268" s="23">
        <v>389.87130000000002</v>
      </c>
      <c r="H268" s="16">
        <v>2185.6849999999999</v>
      </c>
      <c r="I268" s="16">
        <v>656.46799999999996</v>
      </c>
      <c r="J268" s="23" t="s">
        <v>19</v>
      </c>
      <c r="K268" s="23" t="s">
        <v>19</v>
      </c>
      <c r="L268" s="25">
        <v>-0.19</v>
      </c>
    </row>
    <row r="269" spans="1:15" x14ac:dyDescent="0.2">
      <c r="A269" s="23" t="s">
        <v>339</v>
      </c>
      <c r="B269" s="16">
        <v>5020</v>
      </c>
      <c r="C269" s="2" t="s">
        <v>70</v>
      </c>
      <c r="D269" s="2" t="s">
        <v>44</v>
      </c>
      <c r="E269" s="16">
        <v>122.875</v>
      </c>
      <c r="F269" s="16">
        <v>124.361</v>
      </c>
      <c r="G269" s="23">
        <v>390.9323</v>
      </c>
      <c r="H269" s="16">
        <v>2165.913</v>
      </c>
      <c r="I269" s="16">
        <v>653.46400000000006</v>
      </c>
      <c r="J269" s="23" t="s">
        <v>19</v>
      </c>
      <c r="K269" s="23" t="s">
        <v>19</v>
      </c>
      <c r="L269" s="25">
        <v>-0.21</v>
      </c>
    </row>
    <row r="270" spans="1:15" x14ac:dyDescent="0.2">
      <c r="A270" s="23" t="s">
        <v>340</v>
      </c>
      <c r="B270" s="16">
        <v>5040</v>
      </c>
      <c r="C270" s="2" t="s">
        <v>70</v>
      </c>
      <c r="D270" s="2" t="s">
        <v>44</v>
      </c>
      <c r="E270" s="16">
        <v>122.866</v>
      </c>
      <c r="F270" s="16">
        <v>124.31699999999999</v>
      </c>
      <c r="G270" s="23">
        <v>391.99329999999998</v>
      </c>
      <c r="H270" s="16">
        <v>2146.0920000000001</v>
      </c>
      <c r="I270" s="16">
        <v>650.79</v>
      </c>
      <c r="J270" s="23" t="s">
        <v>19</v>
      </c>
      <c r="K270" s="23" t="s">
        <v>19</v>
      </c>
      <c r="L270" s="25">
        <v>-0.23</v>
      </c>
    </row>
    <row r="271" spans="1:15" x14ac:dyDescent="0.2">
      <c r="A271" s="23" t="s">
        <v>341</v>
      </c>
      <c r="B271" s="16">
        <v>5060</v>
      </c>
      <c r="C271" s="2" t="s">
        <v>70</v>
      </c>
      <c r="D271" s="2" t="s">
        <v>44</v>
      </c>
      <c r="E271" s="16">
        <v>122.85599999999999</v>
      </c>
      <c r="F271" s="16">
        <v>124.26900000000001</v>
      </c>
      <c r="G271" s="23">
        <v>393.05439999999999</v>
      </c>
      <c r="H271" s="16">
        <v>2126.23</v>
      </c>
      <c r="I271" s="16">
        <v>648.447</v>
      </c>
      <c r="J271" s="23" t="s">
        <v>19</v>
      </c>
      <c r="K271" s="23" t="s">
        <v>19</v>
      </c>
      <c r="L271" s="25">
        <v>-0.25</v>
      </c>
    </row>
    <row r="272" spans="1:15" x14ac:dyDescent="0.2">
      <c r="A272" s="23" t="s">
        <v>342</v>
      </c>
      <c r="B272" s="16">
        <v>5080</v>
      </c>
      <c r="C272" s="2" t="s">
        <v>70</v>
      </c>
      <c r="D272" s="2" t="s">
        <v>44</v>
      </c>
      <c r="E272" s="16">
        <v>122.84699999999999</v>
      </c>
      <c r="F272" s="16">
        <v>124.217</v>
      </c>
      <c r="G272" s="23">
        <v>394.11540000000002</v>
      </c>
      <c r="H272" s="16">
        <v>2106.3319999999999</v>
      </c>
      <c r="I272" s="16">
        <v>646.43499999999995</v>
      </c>
      <c r="J272" s="23" t="s">
        <v>19</v>
      </c>
      <c r="K272" s="23" t="s">
        <v>19</v>
      </c>
      <c r="L272" s="25">
        <v>-0.27</v>
      </c>
    </row>
    <row r="273" spans="1:12" x14ac:dyDescent="0.2">
      <c r="A273" s="23" t="s">
        <v>343</v>
      </c>
      <c r="B273" s="16">
        <v>5100</v>
      </c>
      <c r="C273" s="2" t="s">
        <v>70</v>
      </c>
      <c r="D273" s="2" t="s">
        <v>44</v>
      </c>
      <c r="E273" s="16">
        <v>122.836</v>
      </c>
      <c r="F273" s="16">
        <v>124.161</v>
      </c>
      <c r="G273" s="23">
        <v>395.1764</v>
      </c>
      <c r="H273" s="16">
        <v>2086.4029999999998</v>
      </c>
      <c r="I273" s="16">
        <v>644.755</v>
      </c>
      <c r="J273" s="23" t="s">
        <v>19</v>
      </c>
      <c r="K273" s="23" t="s">
        <v>19</v>
      </c>
      <c r="L273" s="25">
        <v>-0.28999999999999998</v>
      </c>
    </row>
    <row r="274" spans="1:12" x14ac:dyDescent="0.2">
      <c r="A274" s="23" t="s">
        <v>344</v>
      </c>
      <c r="B274" s="16">
        <v>5113.2979999999998</v>
      </c>
      <c r="C274" s="2" t="s">
        <v>70</v>
      </c>
      <c r="D274" s="2" t="s">
        <v>44</v>
      </c>
      <c r="E274" s="16">
        <v>122.82899999999999</v>
      </c>
      <c r="F274" s="16">
        <v>124.121</v>
      </c>
      <c r="G274" s="23">
        <v>395.88189999999997</v>
      </c>
      <c r="H274" s="16">
        <v>2073.1379999999999</v>
      </c>
      <c r="I274" s="16">
        <v>643.82100000000003</v>
      </c>
      <c r="J274" s="23" t="s">
        <v>19</v>
      </c>
      <c r="K274" s="23" t="s">
        <v>19</v>
      </c>
      <c r="L274" s="25">
        <v>-0.3</v>
      </c>
    </row>
    <row r="275" spans="1:12" x14ac:dyDescent="0.2">
      <c r="A275" s="23" t="s">
        <v>345</v>
      </c>
      <c r="B275" s="16">
        <v>5120</v>
      </c>
      <c r="C275" s="2" t="s">
        <v>71</v>
      </c>
      <c r="D275" s="2" t="s">
        <v>44</v>
      </c>
      <c r="E275" s="16">
        <v>122.82599999999999</v>
      </c>
      <c r="F275" s="16">
        <v>124.101</v>
      </c>
      <c r="G275" s="23">
        <v>395.88189999999997</v>
      </c>
      <c r="H275" s="16">
        <v>2066.4499999999998</v>
      </c>
      <c r="I275" s="16">
        <v>643.38800000000003</v>
      </c>
      <c r="J275" s="23" t="s">
        <v>19</v>
      </c>
      <c r="K275" s="23" t="s">
        <v>19</v>
      </c>
      <c r="L275" s="25">
        <v>-0.31</v>
      </c>
    </row>
    <row r="276" spans="1:12" x14ac:dyDescent="0.2">
      <c r="A276" s="23" t="s">
        <v>346</v>
      </c>
      <c r="B276" s="16">
        <v>5140</v>
      </c>
      <c r="C276" s="2" t="s">
        <v>71</v>
      </c>
      <c r="D276" s="2" t="s">
        <v>44</v>
      </c>
      <c r="E276" s="16">
        <v>122.815</v>
      </c>
      <c r="F276" s="16">
        <v>124.03700000000001</v>
      </c>
      <c r="G276" s="23">
        <v>395.88189999999997</v>
      </c>
      <c r="H276" s="16">
        <v>2046.492</v>
      </c>
      <c r="I276" s="16">
        <v>642.09500000000003</v>
      </c>
      <c r="J276" s="23" t="s">
        <v>19</v>
      </c>
      <c r="K276" s="23" t="s">
        <v>19</v>
      </c>
      <c r="L276" s="25">
        <v>-0.33</v>
      </c>
    </row>
    <row r="277" spans="1:12" x14ac:dyDescent="0.2">
      <c r="A277" s="23" t="s">
        <v>347</v>
      </c>
      <c r="B277" s="16">
        <v>5160</v>
      </c>
      <c r="C277" s="2" t="s">
        <v>71</v>
      </c>
      <c r="D277" s="2" t="s">
        <v>44</v>
      </c>
      <c r="E277" s="16">
        <v>122.804</v>
      </c>
      <c r="F277" s="16">
        <v>123.96899999999999</v>
      </c>
      <c r="G277" s="23">
        <v>395.88189999999997</v>
      </c>
      <c r="H277" s="16">
        <v>2026.5329999999999</v>
      </c>
      <c r="I277" s="16">
        <v>640.803</v>
      </c>
      <c r="J277" s="23" t="s">
        <v>19</v>
      </c>
      <c r="K277" s="23" t="s">
        <v>19</v>
      </c>
      <c r="L277" s="25">
        <v>-0.35</v>
      </c>
    </row>
    <row r="278" spans="1:12" x14ac:dyDescent="0.2">
      <c r="A278" s="23" t="s">
        <v>348</v>
      </c>
      <c r="B278" s="16">
        <v>5180</v>
      </c>
      <c r="C278" s="2" t="s">
        <v>71</v>
      </c>
      <c r="D278" s="2" t="s">
        <v>44</v>
      </c>
      <c r="E278" s="16">
        <v>122.794</v>
      </c>
      <c r="F278" s="16">
        <v>123.89700000000001</v>
      </c>
      <c r="G278" s="23">
        <v>395.88189999999997</v>
      </c>
      <c r="H278" s="16">
        <v>2006.575</v>
      </c>
      <c r="I278" s="16">
        <v>639.51</v>
      </c>
      <c r="J278" s="23" t="s">
        <v>19</v>
      </c>
      <c r="K278" s="23" t="s">
        <v>19</v>
      </c>
      <c r="L278" s="25">
        <v>-0.37</v>
      </c>
    </row>
    <row r="279" spans="1:12" x14ac:dyDescent="0.2">
      <c r="A279" s="23" t="s">
        <v>349</v>
      </c>
      <c r="B279" s="16">
        <v>5200</v>
      </c>
      <c r="C279" s="2" t="s">
        <v>71</v>
      </c>
      <c r="D279" s="2" t="s">
        <v>44</v>
      </c>
      <c r="E279" s="16">
        <v>122.783</v>
      </c>
      <c r="F279" s="16">
        <v>123.821</v>
      </c>
      <c r="G279" s="23">
        <v>395.88189999999997</v>
      </c>
      <c r="H279" s="16">
        <v>1986.617</v>
      </c>
      <c r="I279" s="16">
        <v>638.21699999999998</v>
      </c>
      <c r="J279" s="23" t="s">
        <v>19</v>
      </c>
      <c r="K279" s="23" t="s">
        <v>19</v>
      </c>
      <c r="L279" s="25">
        <v>-0.39</v>
      </c>
    </row>
    <row r="280" spans="1:12" x14ac:dyDescent="0.2">
      <c r="A280" s="23" t="s">
        <v>350</v>
      </c>
      <c r="B280" s="16">
        <v>5220</v>
      </c>
      <c r="C280" s="2" t="s">
        <v>71</v>
      </c>
      <c r="D280" s="2" t="s">
        <v>44</v>
      </c>
      <c r="E280" s="16">
        <v>122.77200000000001</v>
      </c>
      <c r="F280" s="16">
        <v>123.741</v>
      </c>
      <c r="G280" s="23">
        <v>395.88189999999997</v>
      </c>
      <c r="H280" s="16">
        <v>1966.6590000000001</v>
      </c>
      <c r="I280" s="16">
        <v>636.92399999999998</v>
      </c>
      <c r="J280" s="23" t="s">
        <v>19</v>
      </c>
      <c r="K280" s="23" t="s">
        <v>19</v>
      </c>
      <c r="L280" s="25">
        <v>-0.41</v>
      </c>
    </row>
    <row r="281" spans="1:12" x14ac:dyDescent="0.2">
      <c r="A281" s="23" t="s">
        <v>351</v>
      </c>
      <c r="B281" s="16">
        <v>5240</v>
      </c>
      <c r="C281" s="2" t="s">
        <v>71</v>
      </c>
      <c r="D281" s="2" t="s">
        <v>44</v>
      </c>
      <c r="E281" s="16">
        <v>122.762</v>
      </c>
      <c r="F281" s="16">
        <v>123.657</v>
      </c>
      <c r="G281" s="23">
        <v>395.88189999999997</v>
      </c>
      <c r="H281" s="16">
        <v>1946.701</v>
      </c>
      <c r="I281" s="16">
        <v>635.63099999999997</v>
      </c>
      <c r="J281" s="23" t="s">
        <v>19</v>
      </c>
      <c r="K281" s="23" t="s">
        <v>19</v>
      </c>
      <c r="L281" s="25">
        <v>-0.43</v>
      </c>
    </row>
    <row r="282" spans="1:12" x14ac:dyDescent="0.2">
      <c r="A282" s="23" t="s">
        <v>352</v>
      </c>
      <c r="B282" s="16">
        <v>5260</v>
      </c>
      <c r="C282" s="2" t="s">
        <v>71</v>
      </c>
      <c r="D282" s="2" t="s">
        <v>44</v>
      </c>
      <c r="E282" s="16">
        <v>122.751</v>
      </c>
      <c r="F282" s="16">
        <v>123.569</v>
      </c>
      <c r="G282" s="23">
        <v>395.88189999999997</v>
      </c>
      <c r="H282" s="16">
        <v>1926.7429999999999</v>
      </c>
      <c r="I282" s="16">
        <v>634.33799999999997</v>
      </c>
      <c r="J282" s="23" t="s">
        <v>19</v>
      </c>
      <c r="K282" s="23" t="s">
        <v>19</v>
      </c>
      <c r="L282" s="25">
        <v>-0.45</v>
      </c>
    </row>
    <row r="283" spans="1:12" x14ac:dyDescent="0.2">
      <c r="A283" s="23" t="s">
        <v>353</v>
      </c>
      <c r="B283" s="16">
        <v>5280</v>
      </c>
      <c r="C283" s="2" t="s">
        <v>71</v>
      </c>
      <c r="D283" s="2" t="s">
        <v>44</v>
      </c>
      <c r="E283" s="16">
        <v>122.741</v>
      </c>
      <c r="F283" s="16">
        <v>123.477</v>
      </c>
      <c r="G283" s="23">
        <v>395.88189999999997</v>
      </c>
      <c r="H283" s="16">
        <v>1906.7840000000001</v>
      </c>
      <c r="I283" s="16">
        <v>633.04499999999996</v>
      </c>
      <c r="J283" s="23" t="s">
        <v>19</v>
      </c>
      <c r="K283" s="23" t="s">
        <v>19</v>
      </c>
      <c r="L283" s="25">
        <v>-0.47</v>
      </c>
    </row>
    <row r="284" spans="1:12" x14ac:dyDescent="0.2">
      <c r="A284" s="23" t="s">
        <v>354</v>
      </c>
      <c r="B284" s="16">
        <v>5300</v>
      </c>
      <c r="C284" s="2" t="s">
        <v>71</v>
      </c>
      <c r="D284" s="2" t="s">
        <v>44</v>
      </c>
      <c r="E284" s="16">
        <v>122.73</v>
      </c>
      <c r="F284" s="16">
        <v>123.381</v>
      </c>
      <c r="G284" s="23">
        <v>395.88189999999997</v>
      </c>
      <c r="H284" s="16">
        <v>1886.826</v>
      </c>
      <c r="I284" s="16">
        <v>631.75300000000004</v>
      </c>
      <c r="J284" s="23" t="s">
        <v>19</v>
      </c>
      <c r="K284" s="23" t="s">
        <v>19</v>
      </c>
      <c r="L284" s="25">
        <v>-0.49</v>
      </c>
    </row>
    <row r="285" spans="1:12" x14ac:dyDescent="0.2">
      <c r="A285" s="23" t="s">
        <v>355</v>
      </c>
      <c r="B285" s="16">
        <v>5320</v>
      </c>
      <c r="C285" s="2" t="s">
        <v>71</v>
      </c>
      <c r="D285" s="2" t="s">
        <v>44</v>
      </c>
      <c r="E285" s="16">
        <v>122.71899999999999</v>
      </c>
      <c r="F285" s="16">
        <v>123.282</v>
      </c>
      <c r="G285" s="23">
        <v>395.88189999999997</v>
      </c>
      <c r="H285" s="16">
        <v>1866.8679999999999</v>
      </c>
      <c r="I285" s="16">
        <v>630.46</v>
      </c>
      <c r="J285" s="23" t="s">
        <v>19</v>
      </c>
      <c r="K285" s="23" t="s">
        <v>19</v>
      </c>
      <c r="L285" s="25">
        <v>-0.51</v>
      </c>
    </row>
    <row r="286" spans="1:12" x14ac:dyDescent="0.2">
      <c r="A286" s="23" t="s">
        <v>356</v>
      </c>
      <c r="B286" s="16">
        <v>5340</v>
      </c>
      <c r="C286" s="2" t="s">
        <v>71</v>
      </c>
      <c r="D286" s="2" t="s">
        <v>44</v>
      </c>
      <c r="E286" s="16">
        <v>122.709</v>
      </c>
      <c r="F286" s="16">
        <v>123.178</v>
      </c>
      <c r="G286" s="23">
        <v>395.88189999999997</v>
      </c>
      <c r="H286" s="16">
        <v>1846.91</v>
      </c>
      <c r="I286" s="16">
        <v>629.16700000000003</v>
      </c>
      <c r="J286" s="23" t="s">
        <v>19</v>
      </c>
      <c r="K286" s="23" t="s">
        <v>19</v>
      </c>
      <c r="L286" s="25">
        <v>-0.53</v>
      </c>
    </row>
    <row r="287" spans="1:12" x14ac:dyDescent="0.2">
      <c r="A287" s="23" t="s">
        <v>357</v>
      </c>
      <c r="B287" s="16">
        <v>5360</v>
      </c>
      <c r="C287" s="2" t="s">
        <v>71</v>
      </c>
      <c r="D287" s="2" t="s">
        <v>44</v>
      </c>
      <c r="E287" s="16">
        <v>122.69799999999999</v>
      </c>
      <c r="F287" s="16">
        <v>123.07</v>
      </c>
      <c r="G287" s="23">
        <v>395.88189999999997</v>
      </c>
      <c r="H287" s="16">
        <v>1826.952</v>
      </c>
      <c r="I287" s="16">
        <v>627.87400000000002</v>
      </c>
      <c r="J287" s="23" t="s">
        <v>19</v>
      </c>
      <c r="K287" s="23" t="s">
        <v>19</v>
      </c>
      <c r="L287" s="25">
        <v>-0.55000000000000004</v>
      </c>
    </row>
    <row r="288" spans="1:12" x14ac:dyDescent="0.2">
      <c r="A288" s="23" t="s">
        <v>358</v>
      </c>
      <c r="B288" s="16">
        <v>5380</v>
      </c>
      <c r="C288" s="2" t="s">
        <v>71</v>
      </c>
      <c r="D288" s="2" t="s">
        <v>48</v>
      </c>
      <c r="E288" s="16">
        <v>122.687</v>
      </c>
      <c r="F288" s="16">
        <v>122.959</v>
      </c>
      <c r="G288" s="23">
        <v>395.88189999999997</v>
      </c>
      <c r="H288" s="16">
        <v>1806.9939999999999</v>
      </c>
      <c r="I288" s="16">
        <v>626.58100000000002</v>
      </c>
      <c r="J288" s="23" t="s">
        <v>19</v>
      </c>
      <c r="K288" s="23" t="s">
        <v>19</v>
      </c>
      <c r="L288" s="25">
        <v>-0.55000000000000004</v>
      </c>
    </row>
    <row r="289" spans="1:12" x14ac:dyDescent="0.2">
      <c r="A289" s="23" t="s">
        <v>359</v>
      </c>
      <c r="B289" s="16">
        <v>5400</v>
      </c>
      <c r="C289" s="2" t="s">
        <v>71</v>
      </c>
      <c r="D289" s="2" t="s">
        <v>48</v>
      </c>
      <c r="E289" s="16">
        <v>122.67700000000001</v>
      </c>
      <c r="F289" s="16">
        <v>122.848</v>
      </c>
      <c r="G289" s="23">
        <v>395.88189999999997</v>
      </c>
      <c r="H289" s="16">
        <v>1787.0350000000001</v>
      </c>
      <c r="I289" s="16">
        <v>625.28800000000001</v>
      </c>
      <c r="J289" s="23" t="s">
        <v>19</v>
      </c>
      <c r="K289" s="23" t="s">
        <v>19</v>
      </c>
      <c r="L289" s="25">
        <v>-0.55000000000000004</v>
      </c>
    </row>
    <row r="290" spans="1:12" x14ac:dyDescent="0.2">
      <c r="A290" s="23" t="s">
        <v>360</v>
      </c>
      <c r="B290" s="16">
        <v>5420</v>
      </c>
      <c r="C290" s="2" t="s">
        <v>71</v>
      </c>
      <c r="D290" s="2" t="s">
        <v>48</v>
      </c>
      <c r="E290" s="16">
        <v>122.666</v>
      </c>
      <c r="F290" s="16">
        <v>122.73699999999999</v>
      </c>
      <c r="G290" s="23">
        <v>395.88189999999997</v>
      </c>
      <c r="H290" s="16">
        <v>1767.077</v>
      </c>
      <c r="I290" s="16">
        <v>623.99599999999998</v>
      </c>
      <c r="J290" s="23" t="s">
        <v>19</v>
      </c>
      <c r="K290" s="23" t="s">
        <v>19</v>
      </c>
      <c r="L290" s="25">
        <v>-0.55000000000000004</v>
      </c>
    </row>
    <row r="291" spans="1:12" x14ac:dyDescent="0.2">
      <c r="A291" s="23" t="s">
        <v>361</v>
      </c>
      <c r="B291" s="16">
        <v>5440</v>
      </c>
      <c r="C291" s="2" t="s">
        <v>71</v>
      </c>
      <c r="D291" s="2" t="s">
        <v>48</v>
      </c>
      <c r="E291" s="16">
        <v>122.655</v>
      </c>
      <c r="F291" s="16">
        <v>122.626</v>
      </c>
      <c r="G291" s="23">
        <v>395.88189999999997</v>
      </c>
      <c r="H291" s="16">
        <v>1747.1189999999999</v>
      </c>
      <c r="I291" s="16">
        <v>622.70299999999997</v>
      </c>
      <c r="J291" s="23" t="s">
        <v>19</v>
      </c>
      <c r="K291" s="23" t="s">
        <v>19</v>
      </c>
      <c r="L291" s="25">
        <v>-0.55000000000000004</v>
      </c>
    </row>
    <row r="292" spans="1:12" x14ac:dyDescent="0.2">
      <c r="A292" s="23" t="s">
        <v>362</v>
      </c>
      <c r="B292" s="16">
        <v>5460</v>
      </c>
      <c r="C292" s="2" t="s">
        <v>71</v>
      </c>
      <c r="D292" s="2" t="s">
        <v>48</v>
      </c>
      <c r="E292" s="16">
        <v>122.645</v>
      </c>
      <c r="F292" s="16">
        <v>122.515</v>
      </c>
      <c r="G292" s="23">
        <v>395.88189999999997</v>
      </c>
      <c r="H292" s="16">
        <v>1727.1610000000001</v>
      </c>
      <c r="I292" s="16">
        <v>621.41</v>
      </c>
      <c r="J292" s="23" t="s">
        <v>19</v>
      </c>
      <c r="K292" s="23" t="s">
        <v>19</v>
      </c>
      <c r="L292" s="25">
        <v>-0.55000000000000004</v>
      </c>
    </row>
    <row r="293" spans="1:12" x14ac:dyDescent="0.2">
      <c r="A293" s="23" t="s">
        <v>363</v>
      </c>
      <c r="B293" s="16">
        <v>5480</v>
      </c>
      <c r="C293" s="2" t="s">
        <v>71</v>
      </c>
      <c r="D293" s="2" t="s">
        <v>48</v>
      </c>
      <c r="E293" s="16">
        <v>122.634</v>
      </c>
      <c r="F293" s="16">
        <v>122.404</v>
      </c>
      <c r="G293" s="23">
        <v>395.88189999999997</v>
      </c>
      <c r="H293" s="16">
        <v>1707.203</v>
      </c>
      <c r="I293" s="16">
        <v>620.11699999999996</v>
      </c>
      <c r="J293" s="23" t="s">
        <v>19</v>
      </c>
      <c r="K293" s="23" t="s">
        <v>19</v>
      </c>
      <c r="L293" s="25">
        <v>-0.55000000000000004</v>
      </c>
    </row>
    <row r="294" spans="1:12" x14ac:dyDescent="0.2">
      <c r="A294" s="23" t="s">
        <v>364</v>
      </c>
      <c r="B294" s="16">
        <v>5500</v>
      </c>
      <c r="C294" s="2" t="s">
        <v>71</v>
      </c>
      <c r="D294" s="2" t="s">
        <v>48</v>
      </c>
      <c r="E294" s="16">
        <v>122.623</v>
      </c>
      <c r="F294" s="16">
        <v>122.29300000000001</v>
      </c>
      <c r="G294" s="23">
        <v>395.88189999999997</v>
      </c>
      <c r="H294" s="16">
        <v>1687.2449999999999</v>
      </c>
      <c r="I294" s="16">
        <v>618.82399999999996</v>
      </c>
      <c r="J294" s="23" t="s">
        <v>19</v>
      </c>
      <c r="K294" s="23" t="s">
        <v>19</v>
      </c>
      <c r="L294" s="25">
        <v>-0.55000000000000004</v>
      </c>
    </row>
    <row r="295" spans="1:12" x14ac:dyDescent="0.2">
      <c r="A295" s="23" t="s">
        <v>365</v>
      </c>
      <c r="B295" s="16">
        <v>5520</v>
      </c>
      <c r="C295" s="2" t="s">
        <v>71</v>
      </c>
      <c r="D295" s="2" t="s">
        <v>48</v>
      </c>
      <c r="E295" s="16">
        <v>122.613</v>
      </c>
      <c r="F295" s="16">
        <v>122.18300000000001</v>
      </c>
      <c r="G295" s="23">
        <v>395.88189999999997</v>
      </c>
      <c r="H295" s="16">
        <v>1667.2860000000001</v>
      </c>
      <c r="I295" s="16">
        <v>617.53099999999995</v>
      </c>
      <c r="J295" s="23" t="s">
        <v>19</v>
      </c>
      <c r="K295" s="23" t="s">
        <v>19</v>
      </c>
      <c r="L295" s="25">
        <v>-0.55000000000000004</v>
      </c>
    </row>
    <row r="296" spans="1:12" x14ac:dyDescent="0.2">
      <c r="A296" s="23" t="s">
        <v>366</v>
      </c>
      <c r="B296" s="16">
        <v>5540</v>
      </c>
      <c r="C296" s="2" t="s">
        <v>71</v>
      </c>
      <c r="D296" s="2" t="s">
        <v>48</v>
      </c>
      <c r="E296" s="16">
        <v>122.602</v>
      </c>
      <c r="F296" s="16">
        <v>122.072</v>
      </c>
      <c r="G296" s="23">
        <v>395.88189999999997</v>
      </c>
      <c r="H296" s="16">
        <v>1647.328</v>
      </c>
      <c r="I296" s="16">
        <v>616.23900000000003</v>
      </c>
      <c r="J296" s="23" t="s">
        <v>19</v>
      </c>
      <c r="K296" s="23" t="s">
        <v>19</v>
      </c>
      <c r="L296" s="25">
        <v>-0.55000000000000004</v>
      </c>
    </row>
    <row r="297" spans="1:12" x14ac:dyDescent="0.2">
      <c r="A297" s="23" t="s">
        <v>367</v>
      </c>
      <c r="B297" s="16">
        <v>5560</v>
      </c>
      <c r="C297" s="2" t="s">
        <v>71</v>
      </c>
      <c r="D297" s="2" t="s">
        <v>48</v>
      </c>
      <c r="E297" s="16">
        <v>122.59099999999999</v>
      </c>
      <c r="F297" s="16">
        <v>121.961</v>
      </c>
      <c r="G297" s="23">
        <v>395.88189999999997</v>
      </c>
      <c r="H297" s="16">
        <v>1627.37</v>
      </c>
      <c r="I297" s="16">
        <v>614.94600000000003</v>
      </c>
      <c r="J297" s="23" t="s">
        <v>19</v>
      </c>
      <c r="K297" s="23" t="s">
        <v>19</v>
      </c>
      <c r="L297" s="25">
        <v>-0.55000000000000004</v>
      </c>
    </row>
    <row r="298" spans="1:12" x14ac:dyDescent="0.2">
      <c r="A298" s="23" t="s">
        <v>368</v>
      </c>
      <c r="B298" s="16">
        <v>5580</v>
      </c>
      <c r="C298" s="2" t="s">
        <v>71</v>
      </c>
      <c r="D298" s="2" t="s">
        <v>48</v>
      </c>
      <c r="E298" s="16">
        <v>122.581</v>
      </c>
      <c r="F298" s="16">
        <v>121.85</v>
      </c>
      <c r="G298" s="23">
        <v>395.88189999999997</v>
      </c>
      <c r="H298" s="16">
        <v>1607.412</v>
      </c>
      <c r="I298" s="16">
        <v>613.65300000000002</v>
      </c>
      <c r="J298" s="23" t="s">
        <v>19</v>
      </c>
      <c r="K298" s="23" t="s">
        <v>19</v>
      </c>
      <c r="L298" s="25">
        <v>-0.55000000000000004</v>
      </c>
    </row>
    <row r="299" spans="1:12" x14ac:dyDescent="0.2">
      <c r="A299" s="23" t="s">
        <v>369</v>
      </c>
      <c r="B299" s="16">
        <v>5600</v>
      </c>
      <c r="C299" s="2" t="s">
        <v>71</v>
      </c>
      <c r="D299" s="2" t="s">
        <v>48</v>
      </c>
      <c r="E299" s="16">
        <v>122.57</v>
      </c>
      <c r="F299" s="16">
        <v>121.739</v>
      </c>
      <c r="G299" s="23">
        <v>395.88189999999997</v>
      </c>
      <c r="H299" s="16">
        <v>1587.454</v>
      </c>
      <c r="I299" s="16">
        <v>612.36</v>
      </c>
      <c r="J299" s="23" t="s">
        <v>19</v>
      </c>
      <c r="K299" s="23" t="s">
        <v>19</v>
      </c>
      <c r="L299" s="25">
        <v>-0.55000000000000004</v>
      </c>
    </row>
    <row r="300" spans="1:12" x14ac:dyDescent="0.2">
      <c r="A300" s="23" t="s">
        <v>370</v>
      </c>
      <c r="B300" s="16">
        <v>5620</v>
      </c>
      <c r="C300" s="2" t="s">
        <v>71</v>
      </c>
      <c r="D300" s="2" t="s">
        <v>48</v>
      </c>
      <c r="E300" s="16">
        <v>122.56</v>
      </c>
      <c r="F300" s="16">
        <v>121.628</v>
      </c>
      <c r="G300" s="23">
        <v>395.88189999999997</v>
      </c>
      <c r="H300" s="16">
        <v>1567.4960000000001</v>
      </c>
      <c r="I300" s="16">
        <v>611.06700000000001</v>
      </c>
      <c r="J300" s="23" t="s">
        <v>19</v>
      </c>
      <c r="K300" s="23" t="s">
        <v>19</v>
      </c>
      <c r="L300" s="25">
        <v>-0.55000000000000004</v>
      </c>
    </row>
    <row r="301" spans="1:12" x14ac:dyDescent="0.2">
      <c r="A301" s="23" t="s">
        <v>371</v>
      </c>
      <c r="B301" s="16">
        <v>5637.674</v>
      </c>
      <c r="C301" s="2" t="s">
        <v>71</v>
      </c>
      <c r="D301" s="2" t="s">
        <v>48</v>
      </c>
      <c r="E301" s="16">
        <v>122.55</v>
      </c>
      <c r="F301" s="16">
        <v>121.53</v>
      </c>
      <c r="G301" s="23">
        <v>395.88189999999997</v>
      </c>
      <c r="H301" s="16">
        <v>1549.8589999999999</v>
      </c>
      <c r="I301" s="16">
        <v>609.92499999999995</v>
      </c>
      <c r="J301" s="23" t="s">
        <v>19</v>
      </c>
      <c r="K301" s="23" t="s">
        <v>19</v>
      </c>
      <c r="L301" s="25">
        <v>-0.55000000000000004</v>
      </c>
    </row>
  </sheetData>
  <mergeCells count="8">
    <mergeCell ref="J8:K8"/>
    <mergeCell ref="A1:L1"/>
    <mergeCell ref="A3:B3"/>
    <mergeCell ref="C3:F3"/>
    <mergeCell ref="A4:B4"/>
    <mergeCell ref="C4:F4"/>
    <mergeCell ref="A5:B5"/>
    <mergeCell ref="C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Axe en long</vt:lpstr>
      <vt:lpstr>Axe en plan</vt:lpstr>
      <vt:lpstr>Entrée terre</vt:lpstr>
      <vt:lpstr>Tabulation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Abdellatif Abouzid</cp:lastModifiedBy>
  <dcterms:created xsi:type="dcterms:W3CDTF">2025-12-03T20:12:38Z</dcterms:created>
  <dcterms:modified xsi:type="dcterms:W3CDTF">2026-03-18T18:40:14Z</dcterms:modified>
</cp:coreProperties>
</file>